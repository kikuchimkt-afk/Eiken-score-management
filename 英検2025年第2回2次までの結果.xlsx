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4080" windowHeight="22080" tabRatio="600" firstSheet="0" activeTab="0" autoFilterDateGrouping="1"/>
  </bookViews>
  <sheets>
    <sheet name="英検2025年第2回2次までの結果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b val="1"/>
      <color rgb="FF0070C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9" fontId="1" fillId="0" borderId="0" applyAlignment="1">
      <alignment vertical="center"/>
    </xf>
  </cellStyleXfs>
  <cellXfs count="10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textRotation="45"/>
    </xf>
    <xf numFmtId="0" fontId="0" fillId="0" borderId="11" applyAlignment="1" pivotButton="0" quotePrefix="0" xfId="0">
      <alignment vertical="center"/>
    </xf>
    <xf numFmtId="0" fontId="20" fillId="0" borderId="11" applyAlignment="1" pivotButton="0" quotePrefix="0" xfId="0">
      <alignment vertical="center"/>
    </xf>
    <xf numFmtId="0" fontId="20" fillId="0" borderId="12" applyAlignment="1" pivotButton="0" quotePrefix="0" xfId="0">
      <alignment vertical="center"/>
    </xf>
    <xf numFmtId="0" fontId="2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 textRotation="45"/>
    </xf>
    <xf numFmtId="0" fontId="0" fillId="0" borderId="13" applyAlignment="1" pivotButton="0" quotePrefix="0" xfId="0">
      <alignment vertical="center" textRotation="45"/>
    </xf>
    <xf numFmtId="0" fontId="0" fillId="0" borderId="19" applyAlignment="1" pivotButton="0" quotePrefix="0" xfId="0">
      <alignment vertical="center" textRotation="45"/>
    </xf>
    <xf numFmtId="0" fontId="21" fillId="33" borderId="11" applyAlignment="1" pivotButton="0" quotePrefix="0" xfId="0">
      <alignment vertical="center"/>
    </xf>
    <xf numFmtId="0" fontId="21" fillId="33" borderId="11" applyAlignment="1" pivotButton="0" quotePrefix="0" xfId="0">
      <alignment horizontal="right" vertical="center"/>
    </xf>
    <xf numFmtId="0" fontId="21" fillId="33" borderId="12" applyAlignment="1" pivotButton="0" quotePrefix="0" xfId="0">
      <alignment horizontal="right" vertical="center"/>
    </xf>
    <xf numFmtId="0" fontId="21" fillId="33" borderId="13" applyAlignment="1" pivotButton="0" quotePrefix="0" xfId="0">
      <alignment vertical="center"/>
    </xf>
    <xf numFmtId="0" fontId="23" fillId="33" borderId="12" applyAlignment="1" pivotButton="0" quotePrefix="0" xfId="0">
      <alignment vertical="center"/>
    </xf>
    <xf numFmtId="0" fontId="23" fillId="0" borderId="11" applyAlignment="1" pivotButton="0" quotePrefix="0" xfId="0">
      <alignment vertical="center"/>
    </xf>
    <xf numFmtId="0" fontId="23" fillId="0" borderId="12" applyAlignment="1" pivotButton="0" quotePrefix="0" xfId="0">
      <alignment vertical="center"/>
    </xf>
    <xf numFmtId="0" fontId="23" fillId="0" borderId="14" applyAlignment="1" pivotButton="0" quotePrefix="0" xfId="0">
      <alignment vertical="center"/>
    </xf>
    <xf numFmtId="0" fontId="23" fillId="0" borderId="13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1" fillId="33" borderId="19" applyAlignment="1" pivotButton="0" quotePrefix="0" xfId="0">
      <alignment vertical="center" textRotation="45"/>
    </xf>
    <xf numFmtId="0" fontId="21" fillId="33" borderId="15" applyAlignment="1" pivotButton="0" quotePrefix="0" xfId="0">
      <alignment vertical="center"/>
    </xf>
    <xf numFmtId="0" fontId="21" fillId="33" borderId="19" applyAlignment="1" pivotButton="0" quotePrefix="0" xfId="0">
      <alignment vertical="center"/>
    </xf>
    <xf numFmtId="0" fontId="20" fillId="0" borderId="16" applyAlignment="1" pivotButton="0" quotePrefix="0" xfId="0">
      <alignment vertical="center"/>
    </xf>
    <xf numFmtId="0" fontId="19" fillId="33" borderId="11" applyAlignment="1" pivotButton="0" quotePrefix="0" xfId="0">
      <alignment vertical="center"/>
    </xf>
    <xf numFmtId="0" fontId="19" fillId="33" borderId="15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20" applyAlignment="1" pivotButton="0" quotePrefix="0" xfId="0">
      <alignment vertical="center"/>
    </xf>
    <xf numFmtId="0" fontId="19" fillId="33" borderId="12" applyAlignment="1" pivotButton="0" quotePrefix="0" xfId="0">
      <alignment vertical="center"/>
    </xf>
    <xf numFmtId="0" fontId="19" fillId="33" borderId="21" applyAlignment="1" pivotButton="0" quotePrefix="0" xfId="0">
      <alignment vertical="center"/>
    </xf>
    <xf numFmtId="0" fontId="19" fillId="33" borderId="14" applyAlignment="1" pivotButton="0" quotePrefix="0" xfId="0">
      <alignment vertical="center"/>
    </xf>
    <xf numFmtId="0" fontId="19" fillId="33" borderId="23" applyAlignment="1" pivotButton="0" quotePrefix="0" xfId="0">
      <alignment vertical="center"/>
    </xf>
    <xf numFmtId="0" fontId="20" fillId="0" borderId="18" applyAlignment="1" pivotButton="0" quotePrefix="0" xfId="0">
      <alignment vertical="center"/>
    </xf>
    <xf numFmtId="0" fontId="19" fillId="33" borderId="13" applyAlignment="1" pivotButton="0" quotePrefix="0" xfId="0">
      <alignment vertical="center"/>
    </xf>
    <xf numFmtId="0" fontId="19" fillId="33" borderId="19" applyAlignment="1" pivotButton="0" quotePrefix="0" xfId="0">
      <alignment vertical="center"/>
    </xf>
    <xf numFmtId="0" fontId="20" fillId="0" borderId="24" applyAlignment="1" pivotButton="0" quotePrefix="0" xfId="0">
      <alignment vertical="center"/>
    </xf>
    <xf numFmtId="0" fontId="20" fillId="0" borderId="17" applyAlignment="1" pivotButton="0" quotePrefix="0" xfId="0">
      <alignment vertical="center"/>
    </xf>
    <xf numFmtId="0" fontId="19" fillId="33" borderId="25" applyAlignment="1" pivotButton="0" quotePrefix="0" xfId="0">
      <alignment vertical="center"/>
    </xf>
    <xf numFmtId="0" fontId="23" fillId="0" borderId="16" applyAlignment="1" pivotButton="0" quotePrefix="0" xfId="0">
      <alignment vertical="center"/>
    </xf>
    <xf numFmtId="0" fontId="23" fillId="0" borderId="20" applyAlignment="1" pivotButton="0" quotePrefix="0" xfId="0">
      <alignment vertical="center"/>
    </xf>
    <xf numFmtId="0" fontId="23" fillId="0" borderId="22" applyAlignment="1" pivotButton="0" quotePrefix="0" xfId="0">
      <alignment vertical="center"/>
    </xf>
    <xf numFmtId="0" fontId="23" fillId="0" borderId="18" applyAlignment="1" pivotButton="0" quotePrefix="0" xfId="0">
      <alignment vertical="center"/>
    </xf>
    <xf numFmtId="0" fontId="23" fillId="0" borderId="24" applyAlignment="1" pivotButton="0" quotePrefix="0" xfId="0">
      <alignment vertical="center"/>
    </xf>
    <xf numFmtId="0" fontId="23" fillId="0" borderId="27" applyAlignment="1" pivotButton="0" quotePrefix="0" xfId="0">
      <alignment vertical="center"/>
    </xf>
    <xf numFmtId="0" fontId="23" fillId="0" borderId="15" applyAlignment="1" pivotButton="0" quotePrefix="0" xfId="0">
      <alignment vertical="center"/>
    </xf>
    <xf numFmtId="0" fontId="23" fillId="0" borderId="21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3" fillId="0" borderId="19" applyAlignment="1" pivotButton="0" quotePrefix="0" xfId="0">
      <alignment vertical="center"/>
    </xf>
    <xf numFmtId="0" fontId="23" fillId="0" borderId="25" applyAlignment="1" pivotButton="0" quotePrefix="0" xfId="0">
      <alignment vertical="center"/>
    </xf>
    <xf numFmtId="0" fontId="0" fillId="0" borderId="35" applyAlignment="1" pivotButton="0" quotePrefix="0" xfId="0">
      <alignment vertical="center" textRotation="45"/>
    </xf>
    <xf numFmtId="0" fontId="0" fillId="0" borderId="37" applyAlignment="1" pivotButton="0" quotePrefix="0" xfId="0">
      <alignment vertical="center" textRotation="45"/>
    </xf>
    <xf numFmtId="0" fontId="23" fillId="0" borderId="26" applyAlignment="1" pivotButton="0" quotePrefix="0" xfId="0">
      <alignment vertical="center"/>
    </xf>
    <xf numFmtId="0" fontId="23" fillId="0" borderId="28" applyAlignment="1" pivotButton="0" quotePrefix="0" xfId="0">
      <alignment vertical="center"/>
    </xf>
    <xf numFmtId="0" fontId="23" fillId="0" borderId="29" applyAlignment="1" pivotButton="0" quotePrefix="0" xfId="0">
      <alignment vertical="center"/>
    </xf>
    <xf numFmtId="0" fontId="23" fillId="0" borderId="33" applyAlignment="1" pivotButton="0" quotePrefix="0" xfId="0">
      <alignment vertical="center"/>
    </xf>
    <xf numFmtId="0" fontId="23" fillId="0" borderId="34" applyAlignment="1" pivotButton="0" quotePrefix="0" xfId="0">
      <alignment vertical="center"/>
    </xf>
    <xf numFmtId="0" fontId="23" fillId="0" borderId="38" applyAlignment="1" pivotButton="0" quotePrefix="0" xfId="0">
      <alignment vertical="center"/>
    </xf>
    <xf numFmtId="0" fontId="23" fillId="0" borderId="39" applyAlignment="1" pivotButton="0" quotePrefix="0" xfId="0">
      <alignment vertical="center"/>
    </xf>
    <xf numFmtId="0" fontId="23" fillId="0" borderId="30" applyAlignment="1" pivotButton="0" quotePrefix="0" xfId="0">
      <alignment vertical="center"/>
    </xf>
    <xf numFmtId="0" fontId="23" fillId="0" borderId="32" applyAlignment="1" pivotButton="0" quotePrefix="0" xfId="0">
      <alignment vertical="center"/>
    </xf>
    <xf numFmtId="0" fontId="0" fillId="0" borderId="36" applyAlignment="1" pivotButton="0" quotePrefix="0" xfId="0">
      <alignment vertical="center" textRotation="45"/>
    </xf>
    <xf numFmtId="0" fontId="23" fillId="0" borderId="31" applyAlignment="1" pivotButton="0" quotePrefix="0" xfId="0">
      <alignment vertical="center"/>
    </xf>
    <xf numFmtId="0" fontId="0" fillId="0" borderId="40" applyAlignment="1" pivotButton="0" quotePrefix="0" xfId="0">
      <alignment vertical="center" textRotation="45"/>
    </xf>
    <xf numFmtId="0" fontId="23" fillId="0" borderId="41" applyAlignment="1" pivotButton="0" quotePrefix="0" xfId="0">
      <alignment vertical="center"/>
    </xf>
    <xf numFmtId="0" fontId="23" fillId="0" borderId="42" applyAlignment="1" pivotButton="0" quotePrefix="0" xfId="0">
      <alignment vertical="center"/>
    </xf>
    <xf numFmtId="0" fontId="23" fillId="0" borderId="43" applyAlignment="1" pivotButton="0" quotePrefix="0" xfId="0">
      <alignment vertical="center"/>
    </xf>
    <xf numFmtId="0" fontId="23" fillId="0" borderId="44" applyAlignment="1" pivotButton="0" quotePrefix="0" xfId="0">
      <alignment vertical="center"/>
    </xf>
    <xf numFmtId="0" fontId="23" fillId="0" borderId="45" applyAlignment="1" pivotButton="0" quotePrefix="0" xfId="0">
      <alignment vertical="center"/>
    </xf>
    <xf numFmtId="0" fontId="0" fillId="0" borderId="10" applyAlignment="1" pivotButton="0" quotePrefix="0" xfId="0">
      <alignment vertical="center" textRotation="45"/>
    </xf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vertical="center"/>
    </xf>
    <xf numFmtId="0" fontId="23" fillId="0" borderId="48" applyAlignment="1" pivotButton="0" quotePrefix="0" xfId="0">
      <alignment vertical="center"/>
    </xf>
    <xf numFmtId="0" fontId="23" fillId="0" borderId="10" applyAlignment="1" pivotButton="0" quotePrefix="0" xfId="0">
      <alignment vertical="center"/>
    </xf>
    <xf numFmtId="0" fontId="23" fillId="0" borderId="49" applyAlignment="1" pivotButton="0" quotePrefix="0" xfId="0">
      <alignment vertical="center"/>
    </xf>
    <xf numFmtId="0" fontId="21" fillId="33" borderId="36" applyAlignment="1" pivotButton="0" quotePrefix="0" xfId="0">
      <alignment vertical="center" textRotation="45"/>
    </xf>
    <xf numFmtId="0" fontId="21" fillId="33" borderId="37" applyAlignment="1" pivotButton="0" quotePrefix="0" xfId="0">
      <alignment vertical="center" textRotation="45"/>
    </xf>
    <xf numFmtId="9" fontId="21" fillId="33" borderId="27" applyAlignment="1" pivotButton="0" quotePrefix="0" xfId="42">
      <alignment vertical="center"/>
    </xf>
    <xf numFmtId="9" fontId="19" fillId="33" borderId="27" applyAlignment="1" pivotButton="0" quotePrefix="0" xfId="42">
      <alignment vertical="center"/>
    </xf>
    <xf numFmtId="9" fontId="19" fillId="33" borderId="29" applyAlignment="1" pivotButton="0" quotePrefix="0" xfId="42">
      <alignment vertical="center"/>
    </xf>
    <xf numFmtId="9" fontId="19" fillId="33" borderId="34" applyAlignment="1" pivotButton="0" quotePrefix="0" xfId="42">
      <alignment vertical="center"/>
    </xf>
    <xf numFmtId="9" fontId="21" fillId="33" borderId="39" applyAlignment="1" pivotButton="0" quotePrefix="0" xfId="42">
      <alignment vertical="center"/>
    </xf>
    <xf numFmtId="0" fontId="21" fillId="33" borderId="27" applyAlignment="1" pivotButton="0" quotePrefix="0" xfId="0">
      <alignment horizontal="right" vertical="center"/>
    </xf>
    <xf numFmtId="0" fontId="21" fillId="33" borderId="29" applyAlignment="1" pivotButton="0" quotePrefix="0" xfId="0">
      <alignment horizontal="right" vertical="center"/>
    </xf>
    <xf numFmtId="9" fontId="19" fillId="33" borderId="39" applyAlignment="1" pivotButton="0" quotePrefix="0" xfId="42">
      <alignment vertical="center"/>
    </xf>
    <xf numFmtId="0" fontId="19" fillId="33" borderId="31" applyAlignment="1" pivotButton="0" quotePrefix="0" xfId="0">
      <alignment vertical="center"/>
    </xf>
    <xf numFmtId="9" fontId="19" fillId="33" borderId="32" applyAlignment="1" pivotButton="0" quotePrefix="0" xfId="42">
      <alignment vertical="center"/>
    </xf>
    <xf numFmtId="0" fontId="23" fillId="33" borderId="29" applyAlignment="1" pivotButton="0" quotePrefix="0" xfId="0">
      <alignment vertical="center"/>
    </xf>
    <xf numFmtId="0" fontId="21" fillId="33" borderId="27" applyAlignment="1" pivotButton="0" quotePrefix="0" xfId="0">
      <alignment vertical="center"/>
    </xf>
    <xf numFmtId="0" fontId="19" fillId="33" borderId="27" applyAlignment="1" pivotButton="0" quotePrefix="0" xfId="0">
      <alignment vertical="center"/>
    </xf>
    <xf numFmtId="0" fontId="19" fillId="33" borderId="29" applyAlignment="1" pivotButton="0" quotePrefix="0" xfId="0">
      <alignment vertical="center"/>
    </xf>
    <xf numFmtId="0" fontId="19" fillId="33" borderId="34" applyAlignment="1" pivotButton="0" quotePrefix="0" xfId="0">
      <alignment vertical="center"/>
    </xf>
    <xf numFmtId="0" fontId="21" fillId="33" borderId="39" applyAlignment="1" pivotButton="0" quotePrefix="0" xfId="0">
      <alignment vertical="center"/>
    </xf>
    <xf numFmtId="0" fontId="19" fillId="33" borderId="39" applyAlignment="1" pivotButton="0" quotePrefix="0" xfId="0">
      <alignment vertical="center"/>
    </xf>
    <xf numFmtId="0" fontId="20" fillId="0" borderId="26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20" fillId="0" borderId="28" applyAlignment="1" pivotButton="0" quotePrefix="0" xfId="0">
      <alignment vertical="center"/>
    </xf>
    <xf numFmtId="0" fontId="20" fillId="0" borderId="38" applyAlignment="1" pivotButton="0" quotePrefix="0" xfId="0">
      <alignment vertical="center"/>
    </xf>
    <xf numFmtId="0" fontId="20" fillId="0" borderId="30" applyAlignment="1" pivotButton="0" quotePrefix="0" xfId="0">
      <alignment vertical="center"/>
    </xf>
    <xf numFmtId="0" fontId="20" fillId="0" borderId="31" applyAlignment="1" pivotButton="0" quotePrefix="0" xfId="0">
      <alignment vertical="center"/>
    </xf>
    <xf numFmtId="0" fontId="19" fillId="33" borderId="32" applyAlignment="1" pivotButton="0" quotePrefix="0" xfId="0">
      <alignment vertical="center"/>
    </xf>
    <xf numFmtId="0" fontId="19" fillId="0" borderId="27" applyAlignment="1" pivotButton="0" quotePrefix="0" xfId="0">
      <alignment vertical="center"/>
    </xf>
    <xf numFmtId="0" fontId="19" fillId="0" borderId="29" applyAlignment="1" pivotButton="0" quotePrefix="0" xfId="0">
      <alignment vertical="center"/>
    </xf>
    <xf numFmtId="0" fontId="19" fillId="0" borderId="34" applyAlignment="1" pivotButton="0" quotePrefix="0" xfId="0">
      <alignment vertical="center"/>
    </xf>
    <xf numFmtId="0" fontId="24" fillId="0" borderId="27" applyAlignment="1" pivotButton="0" quotePrefix="0" xfId="0">
      <alignment vertical="center"/>
    </xf>
    <xf numFmtId="0" fontId="24" fillId="0" borderId="29" applyAlignment="1" pivotButton="0" quotePrefix="0" xfId="0">
      <alignment vertical="center"/>
    </xf>
    <xf numFmtId="0" fontId="24" fillId="0" borderId="34" applyAlignment="1" pivotButton="0" quotePrefix="0" xfId="0">
      <alignment vertical="center"/>
    </xf>
    <xf numFmtId="0" fontId="0" fillId="0" borderId="0" pivotButton="0" quotePrefix="0" xfId="0"/>
  </cellXfs>
  <cellStyles count="43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  <cellStyle name="パーセント" xfId="42" builtinId="5"/>
  </cellStyles>
  <dxfs count="49">
    <dxf>
      <font>
        <name val="游ゴシック"/>
        <charset val="128"/>
        <family val="3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b val="1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rgb="FFFF000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rgb="FFFF0000"/>
        <sz val="11"/>
        <vertAlign val="baseline"/>
        <scheme val="minor"/>
      </font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游ゴシック"/>
        <charset val="128"/>
        <family val="3"/>
        <strike val="0"/>
        <outline val="0"/>
        <shadow val="0"/>
        <color auto="1"/>
        <sz val="11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45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テーブル13" displayName="テーブル13" ref="A1:AU81" headerRowCount="1" totalsRowShown="0" headerRowDxfId="48" tableBorderDxfId="47">
  <autoFilter ref="A1:AU81"/>
  <tableColumns count="47">
    <tableColumn id="1" name="実施年度" dataDxfId="46"/>
    <tableColumn id="2" name="実施回" dataDxfId="45"/>
    <tableColumn id="3" name="級" dataDxfId="44"/>
    <tableColumn id="5" name="学年" dataDxfId="43"/>
    <tableColumn id="6" name="氏名" dataDxfId="42"/>
    <tableColumn id="7" name="一次免除の有無" dataDxfId="41"/>
    <tableColumn id="8" name="一次合否" dataDxfId="40"/>
    <tableColumn id="9" name="二次合否" dataDxfId="39"/>
    <tableColumn id="10" name="総合合否" dataDxfId="38"/>
    <tableColumn id="11" name="英検バンド一次" dataDxfId="37"/>
    <tableColumn id="12" name="英検バンド二次" dataDxfId="36"/>
    <tableColumn id="13" name="Reading CSEスコア" dataDxfId="35"/>
    <tableColumn id="14" name="Listening CSEスコア" dataDxfId="34"/>
    <tableColumn id="15" name="Writing CSEスコア" dataDxfId="33"/>
    <tableColumn id="16" name="CSEスコア 一次合計" dataDxfId="32"/>
    <tableColumn id="17" name="Speaking CSEスコア" dataDxfId="31"/>
    <tableColumn id="18" name="総合CSEスコア" dataDxfId="30"/>
    <tableColumn id="19" name="Reading CEFR" dataDxfId="29"/>
    <tableColumn id="20" name="Listening CEFR" dataDxfId="28"/>
    <tableColumn id="21" name="Writing CEFR" dataDxfId="27"/>
    <tableColumn id="22" name="Speaking CEFR" dataDxfId="26"/>
    <tableColumn id="23" name="4技能総合CEFR" dataDxfId="25"/>
    <tableColumn id="24" name="Reading正答数（大問1）" dataDxfId="24"/>
    <tableColumn id="25" name="Reading正答数（大問2）" dataDxfId="23"/>
    <tableColumn id="26" name="Reading正答数（大問3）" dataDxfId="22"/>
    <tableColumn id="27" name="Reading正答数（大問4）" dataDxfId="21"/>
    <tableColumn id="49" name="リーディング正答数" dataDxfId="20"/>
    <tableColumn id="50" name="リーディング正答率" dataDxfId="19"/>
    <tableColumn id="28" name="Listening正答数（大問1）" dataDxfId="18"/>
    <tableColumn id="29" name="Listening正答数（大問2）" dataDxfId="17"/>
    <tableColumn id="30" name="Listening正答数（大問3）" dataDxfId="16"/>
    <tableColumn id="31" name="Listening正答数" dataDxfId="15"/>
    <tableColumn id="51" name="リスニング正答率" dataDxfId="14"/>
    <tableColumn id="32" name="Writing設問1スコア（内容）" dataDxfId="13"/>
    <tableColumn id="33" name="Writing設問1スコア（構成）" dataDxfId="12"/>
    <tableColumn id="34" name="Writing設問1スコア（語い）" dataDxfId="11"/>
    <tableColumn id="35" name="Writing設問1スコア（文法）" dataDxfId="10"/>
    <tableColumn id="36" name="Writing設問2スコア（内容）" dataDxfId="9"/>
    <tableColumn id="37" name="Writing設問2スコア（構成）" dataDxfId="8"/>
    <tableColumn id="38" name="Writing設問2スコア（語い）" dataDxfId="7"/>
    <tableColumn id="39" name="Writing設問2スコア（文法）" dataDxfId="6"/>
    <tableColumn id="52" name="ライティングスコア" dataDxfId="5"/>
    <tableColumn id="53" name="ライティン得点率" dataDxfId="4"/>
    <tableColumn id="45" name="Speaking得点（リーディング）" dataDxfId="3"/>
    <tableColumn id="46" name="Speaking得点（Q&amp;A）" dataDxfId="2"/>
    <tableColumn id="47" name="Speaking得点（アティチュード）" dataDxfId="1"/>
    <tableColumn id="48" name="スピーキングスコア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U134"/>
  <sheetViews>
    <sheetView tabSelected="1" view="pageBreakPreview" zoomScale="60" zoomScaleNormal="85" workbookViewId="0">
      <selection activeCell="K40" sqref="K40"/>
    </sheetView>
  </sheetViews>
  <sheetFormatPr baseColWidth="8" defaultRowHeight="18.75"/>
  <cols>
    <col width="9" customWidth="1" style="20" min="42" max="43"/>
    <col width="9" customWidth="1" style="20" min="47" max="47"/>
  </cols>
  <sheetData>
    <row r="1" ht="140.25" customFormat="1" customHeight="1" s="1">
      <c r="A1" s="7" t="inlineStr">
        <is>
          <t>実施年度</t>
        </is>
      </c>
      <c r="B1" s="8" t="inlineStr">
        <is>
          <t>実施回</t>
        </is>
      </c>
      <c r="C1" s="8" t="inlineStr">
        <is>
          <t>級</t>
        </is>
      </c>
      <c r="D1" s="8" t="inlineStr">
        <is>
          <t>学年</t>
        </is>
      </c>
      <c r="E1" s="8" t="inlineStr">
        <is>
          <t>氏名</t>
        </is>
      </c>
      <c r="F1" s="8" t="inlineStr">
        <is>
          <t>一次免除の有無</t>
        </is>
      </c>
      <c r="G1" s="8" t="inlineStr">
        <is>
          <t>一次合否</t>
        </is>
      </c>
      <c r="H1" s="8" t="inlineStr">
        <is>
          <t>二次合否</t>
        </is>
      </c>
      <c r="I1" s="9" t="inlineStr">
        <is>
          <t>総合合否</t>
        </is>
      </c>
      <c r="J1" s="50" t="inlineStr">
        <is>
          <t>英検バンド一次</t>
        </is>
      </c>
      <c r="K1" s="51" t="inlineStr">
        <is>
          <t>英検バンド二次</t>
        </is>
      </c>
      <c r="L1" s="50" t="inlineStr">
        <is>
          <t>Reading CSEスコア</t>
        </is>
      </c>
      <c r="M1" s="61" t="inlineStr">
        <is>
          <t>Listening CSEスコア</t>
        </is>
      </c>
      <c r="N1" s="61" t="inlineStr">
        <is>
          <t>Writing CSEスコア</t>
        </is>
      </c>
      <c r="O1" s="51" t="inlineStr">
        <is>
          <t>CSEスコア 一次合計</t>
        </is>
      </c>
      <c r="P1" s="50" t="inlineStr">
        <is>
          <t>Speaking CSEスコア</t>
        </is>
      </c>
      <c r="Q1" s="51" t="inlineStr">
        <is>
          <t>総合CSEスコア</t>
        </is>
      </c>
      <c r="R1" s="50" t="inlineStr">
        <is>
          <t>Reading CEFR</t>
        </is>
      </c>
      <c r="S1" s="61" t="inlineStr">
        <is>
          <t>Listening CEFR</t>
        </is>
      </c>
      <c r="T1" s="51" t="inlineStr">
        <is>
          <t>Writing CEFR</t>
        </is>
      </c>
      <c r="U1" s="63" t="inlineStr">
        <is>
          <t>Speaking CEFR</t>
        </is>
      </c>
      <c r="V1" s="69" t="inlineStr">
        <is>
          <t>4技能総合CEFR</t>
        </is>
      </c>
      <c r="W1" s="50" t="inlineStr">
        <is>
          <t>Reading正答数（大問1）</t>
        </is>
      </c>
      <c r="X1" s="61" t="inlineStr">
        <is>
          <t>Reading正答数（大問2）</t>
        </is>
      </c>
      <c r="Y1" s="61" t="inlineStr">
        <is>
          <t>Reading正答数（大問3）</t>
        </is>
      </c>
      <c r="Z1" s="61" t="inlineStr">
        <is>
          <t>Reading正答数（大問4）</t>
        </is>
      </c>
      <c r="AA1" s="75" t="inlineStr">
        <is>
          <t>リーディング正答数</t>
        </is>
      </c>
      <c r="AB1" s="76" t="inlineStr">
        <is>
          <t>リーディング正答率</t>
        </is>
      </c>
      <c r="AC1" s="50" t="inlineStr">
        <is>
          <t>Listening正答数（大問1）</t>
        </is>
      </c>
      <c r="AD1" s="61" t="inlineStr">
        <is>
          <t>Listening正答数（大問2）</t>
        </is>
      </c>
      <c r="AE1" s="61" t="inlineStr">
        <is>
          <t>Listening正答数（大問3）</t>
        </is>
      </c>
      <c r="AF1" s="75" t="inlineStr">
        <is>
          <t>Listening正答数</t>
        </is>
      </c>
      <c r="AG1" s="76" t="inlineStr">
        <is>
          <t>リスニング正答率</t>
        </is>
      </c>
      <c r="AH1" s="50" t="inlineStr">
        <is>
          <t>Writing設問1スコア（内容）</t>
        </is>
      </c>
      <c r="AI1" s="61" t="inlineStr">
        <is>
          <t>Writing設問1スコア（構成）</t>
        </is>
      </c>
      <c r="AJ1" s="61" t="inlineStr">
        <is>
          <t>Writing設問1スコア（語い）</t>
        </is>
      </c>
      <c r="AK1" s="61" t="inlineStr">
        <is>
          <t>Writing設問1スコア（文法）</t>
        </is>
      </c>
      <c r="AL1" s="61" t="inlineStr">
        <is>
          <t>Writing設問2スコア（内容）</t>
        </is>
      </c>
      <c r="AM1" s="61" t="inlineStr">
        <is>
          <t>Writing設問2スコア（構成）</t>
        </is>
      </c>
      <c r="AN1" s="61" t="inlineStr">
        <is>
          <t>Writing設問2スコア（語い）</t>
        </is>
      </c>
      <c r="AO1" s="61" t="inlineStr">
        <is>
          <t>Writing設問2スコア（文法）</t>
        </is>
      </c>
      <c r="AP1" s="75" t="inlineStr">
        <is>
          <t>ライティングスコア</t>
        </is>
      </c>
      <c r="AQ1" s="76" t="inlineStr">
        <is>
          <t>ライティン得点率</t>
        </is>
      </c>
      <c r="AR1" s="7" t="inlineStr">
        <is>
          <t>Speaking得点（リーディング）</t>
        </is>
      </c>
      <c r="AS1" s="8" t="inlineStr">
        <is>
          <t>Speaking得点（Q&amp;A）</t>
        </is>
      </c>
      <c r="AT1" s="8" t="inlineStr">
        <is>
          <t>Speaking得点（アティチュード）</t>
        </is>
      </c>
      <c r="AU1" s="21" t="inlineStr">
        <is>
          <t>スピーキングスコア</t>
        </is>
      </c>
    </row>
    <row r="2">
      <c r="A2" s="39" t="n">
        <v>2025</v>
      </c>
      <c r="B2" s="15" t="inlineStr">
        <is>
          <t>第1回</t>
        </is>
      </c>
      <c r="C2" s="15" t="inlineStr">
        <is>
          <t>2級</t>
        </is>
      </c>
      <c r="D2" s="15" t="inlineStr">
        <is>
          <t>中3</t>
        </is>
      </c>
      <c r="E2" s="15" t="inlineStr">
        <is>
          <t>川原 維月</t>
        </is>
      </c>
      <c r="F2" s="15" t="inlineStr">
        <is>
          <t>無</t>
        </is>
      </c>
      <c r="G2" s="15" t="inlineStr">
        <is>
          <t>不合格</t>
        </is>
      </c>
      <c r="H2" s="15" t="inlineStr">
        <is>
          <t>－</t>
        </is>
      </c>
      <c r="I2" s="45" t="n"/>
      <c r="J2" s="52" t="inlineStr">
        <is>
          <t>G2 -4</t>
        </is>
      </c>
      <c r="K2" s="44" t="inlineStr">
        <is>
          <t>－</t>
        </is>
      </c>
      <c r="L2" s="52" t="n">
        <v>487</v>
      </c>
      <c r="M2" s="15" t="n">
        <v>476</v>
      </c>
      <c r="N2" s="15" t="n">
        <v>453</v>
      </c>
      <c r="O2" s="44" t="n">
        <v>1416</v>
      </c>
      <c r="P2" s="52" t="inlineStr">
        <is>
          <t>－</t>
        </is>
      </c>
      <c r="Q2" s="44" t="inlineStr">
        <is>
          <t>－</t>
        </is>
      </c>
      <c r="R2" s="52" t="inlineStr">
        <is>
          <t>A2</t>
        </is>
      </c>
      <c r="S2" s="15" t="inlineStr">
        <is>
          <t>A2</t>
        </is>
      </c>
      <c r="T2" s="44" t="inlineStr">
        <is>
          <t>A2</t>
        </is>
      </c>
      <c r="U2" s="64" t="inlineStr">
        <is>
          <t>－</t>
        </is>
      </c>
      <c r="V2" s="70" t="inlineStr">
        <is>
          <t>－</t>
        </is>
      </c>
      <c r="W2" s="52" t="n">
        <v>6</v>
      </c>
      <c r="X2" s="15" t="n">
        <v>4</v>
      </c>
      <c r="Y2" s="15" t="n">
        <v>2</v>
      </c>
      <c r="Z2" s="15" t="n"/>
      <c r="AA2" s="10">
        <f>SUM(テーブル13[[#This Row],[Reading正答数（大問1）]:[Reading正答数（大問4）]])</f>
        <v/>
      </c>
      <c r="AB2" s="77">
        <f>テーブル13[[#This Row],[リーディング正答数]]/31</f>
        <v/>
      </c>
      <c r="AC2" s="52" t="n">
        <v>6</v>
      </c>
      <c r="AD2" s="15" t="n">
        <v>8</v>
      </c>
      <c r="AE2" s="15" t="n"/>
      <c r="AF2" s="10">
        <f>SUM(テーブル13[[#This Row],[Listening正答数（大問1）]:[Listening正答数（大問3）]])</f>
        <v/>
      </c>
      <c r="AG2" s="77">
        <f>テーブル13[[#This Row],[Listening正答数]]/30</f>
        <v/>
      </c>
      <c r="AH2" s="52" t="n">
        <v>2</v>
      </c>
      <c r="AI2" s="15" t="n">
        <v>1</v>
      </c>
      <c r="AJ2" s="15" t="n">
        <v>2</v>
      </c>
      <c r="AK2" s="15" t="n">
        <v>2</v>
      </c>
      <c r="AL2" s="15" t="n">
        <v>2</v>
      </c>
      <c r="AM2" s="15" t="n">
        <v>3</v>
      </c>
      <c r="AN2" s="15" t="n">
        <v>2</v>
      </c>
      <c r="AO2" s="15" t="n">
        <v>2</v>
      </c>
      <c r="AP2" s="10">
        <f>SUM(テーブル13[[#This Row],[Writing設問1スコア（内容）]:[Writing設問2スコア（文法）]])</f>
        <v/>
      </c>
      <c r="AQ2" s="88" t="n"/>
      <c r="AR2" s="39" t="n"/>
      <c r="AS2" s="15" t="n"/>
      <c r="AT2" s="15" t="n"/>
      <c r="AU2" s="22" t="n"/>
    </row>
    <row r="3">
      <c r="A3" s="39" t="n">
        <v>2025</v>
      </c>
      <c r="B3" s="15" t="inlineStr">
        <is>
          <t>第1回</t>
        </is>
      </c>
      <c r="C3" s="15" t="inlineStr">
        <is>
          <t>2級</t>
        </is>
      </c>
      <c r="D3" s="15" t="inlineStr">
        <is>
          <t>中3</t>
        </is>
      </c>
      <c r="E3" s="15" t="inlineStr">
        <is>
          <t>吉岡 ひかり</t>
        </is>
      </c>
      <c r="F3" s="15" t="inlineStr">
        <is>
          <t>無</t>
        </is>
      </c>
      <c r="G3" s="15" t="inlineStr">
        <is>
          <t>不合格</t>
        </is>
      </c>
      <c r="H3" s="15" t="inlineStr">
        <is>
          <t>－</t>
        </is>
      </c>
      <c r="I3" s="45" t="n"/>
      <c r="J3" s="52" t="inlineStr">
        <is>
          <t>G2 -2</t>
        </is>
      </c>
      <c r="K3" s="44" t="inlineStr">
        <is>
          <t>－</t>
        </is>
      </c>
      <c r="L3" s="52" t="n">
        <v>487</v>
      </c>
      <c r="M3" s="15" t="n">
        <v>490</v>
      </c>
      <c r="N3" s="15" t="n">
        <v>510</v>
      </c>
      <c r="O3" s="44" t="n">
        <v>1487</v>
      </c>
      <c r="P3" s="52" t="inlineStr">
        <is>
          <t>－</t>
        </is>
      </c>
      <c r="Q3" s="44" t="inlineStr">
        <is>
          <t>－</t>
        </is>
      </c>
      <c r="R3" s="52" t="inlineStr">
        <is>
          <t>A2</t>
        </is>
      </c>
      <c r="S3" s="15" t="inlineStr">
        <is>
          <t>A2</t>
        </is>
      </c>
      <c r="T3" s="44" t="inlineStr">
        <is>
          <t>B1</t>
        </is>
      </c>
      <c r="U3" s="64" t="inlineStr">
        <is>
          <t>－</t>
        </is>
      </c>
      <c r="V3" s="70" t="inlineStr">
        <is>
          <t>－</t>
        </is>
      </c>
      <c r="W3" s="52" t="n">
        <v>5</v>
      </c>
      <c r="X3" s="15" t="n">
        <v>3</v>
      </c>
      <c r="Y3" s="15" t="n">
        <v>4</v>
      </c>
      <c r="Z3" s="15" t="n"/>
      <c r="AA3" s="10">
        <f>SUM(テーブル13[[#This Row],[Reading正答数（大問1）]:[Reading正答数（大問4）]])</f>
        <v/>
      </c>
      <c r="AB3" s="77">
        <f>テーブル13[[#This Row],[リーディング正答数]]/31</f>
        <v/>
      </c>
      <c r="AC3" s="52" t="n">
        <v>8</v>
      </c>
      <c r="AD3" s="15" t="n">
        <v>8</v>
      </c>
      <c r="AE3" s="15" t="n"/>
      <c r="AF3" s="10">
        <f>SUM(テーブル13[[#This Row],[Listening正答数（大問1）]:[Listening正答数（大問3）]])</f>
        <v/>
      </c>
      <c r="AG3" s="77">
        <f>テーブル13[[#This Row],[Listening正答数]]/30</f>
        <v/>
      </c>
      <c r="AH3" s="52" t="n">
        <v>2</v>
      </c>
      <c r="AI3" s="15" t="n">
        <v>2</v>
      </c>
      <c r="AJ3" s="15" t="n">
        <v>3</v>
      </c>
      <c r="AK3" s="15" t="n">
        <v>3</v>
      </c>
      <c r="AL3" s="15" t="n">
        <v>3</v>
      </c>
      <c r="AM3" s="15" t="n">
        <v>3</v>
      </c>
      <c r="AN3" s="15" t="n">
        <v>3</v>
      </c>
      <c r="AO3" s="15" t="n">
        <v>2</v>
      </c>
      <c r="AP3" s="10">
        <f>SUM(テーブル13[[#This Row],[Writing設問1スコア（内容）]:[Writing設問2スコア（文法）]])</f>
        <v/>
      </c>
      <c r="AQ3" s="88" t="n"/>
      <c r="AR3" s="39" t="n"/>
      <c r="AS3" s="15" t="n"/>
      <c r="AT3" s="15" t="n"/>
      <c r="AU3" s="22" t="n"/>
    </row>
    <row r="4" customFormat="1" s="27">
      <c r="A4" s="39" t="n">
        <v>2025</v>
      </c>
      <c r="B4" s="15" t="inlineStr">
        <is>
          <t>第1回</t>
        </is>
      </c>
      <c r="C4" s="15" t="inlineStr">
        <is>
          <t>2級</t>
        </is>
      </c>
      <c r="D4" s="15" t="inlineStr">
        <is>
          <t>高2</t>
        </is>
      </c>
      <c r="E4" s="15" t="inlineStr">
        <is>
          <t>仁木 洸太</t>
        </is>
      </c>
      <c r="F4" s="15" t="inlineStr">
        <is>
          <t>無</t>
        </is>
      </c>
      <c r="G4" s="15" t="inlineStr">
        <is>
          <t>合格</t>
        </is>
      </c>
      <c r="H4" s="15" t="inlineStr">
        <is>
          <t>合格</t>
        </is>
      </c>
      <c r="I4" s="45" t="inlineStr">
        <is>
          <t>合格</t>
        </is>
      </c>
      <c r="J4" s="52" t="inlineStr">
        <is>
          <t>G2 +3</t>
        </is>
      </c>
      <c r="K4" s="44" t="inlineStr">
        <is>
          <t>G2 +1</t>
        </is>
      </c>
      <c r="L4" s="52" t="n">
        <v>505</v>
      </c>
      <c r="M4" s="15" t="n">
        <v>497</v>
      </c>
      <c r="N4" s="15" t="n">
        <v>576</v>
      </c>
      <c r="O4" s="101" t="n">
        <v>1578</v>
      </c>
      <c r="P4" s="52" t="n">
        <v>483</v>
      </c>
      <c r="Q4" s="104" t="n">
        <v>2061</v>
      </c>
      <c r="R4" s="52" t="inlineStr">
        <is>
          <t>A2</t>
        </is>
      </c>
      <c r="S4" s="15" t="inlineStr">
        <is>
          <t>B1</t>
        </is>
      </c>
      <c r="T4" s="44" t="inlineStr">
        <is>
          <t>B1</t>
        </is>
      </c>
      <c r="U4" s="64" t="inlineStr">
        <is>
          <t>B1</t>
        </is>
      </c>
      <c r="V4" s="70" t="inlineStr">
        <is>
          <t>B1</t>
        </is>
      </c>
      <c r="W4" s="52" t="n">
        <v>8</v>
      </c>
      <c r="X4" s="15" t="n">
        <v>3</v>
      </c>
      <c r="Y4" s="15" t="n">
        <v>4</v>
      </c>
      <c r="Z4" s="15" t="n"/>
      <c r="AA4" s="25">
        <f>SUM(テーブル13[[#This Row],[Reading正答数（大問1）]:[Reading正答数（大問4）]])</f>
        <v/>
      </c>
      <c r="AB4" s="78">
        <f>テーブル13[[#This Row],[リーディング正答数]]/31</f>
        <v/>
      </c>
      <c r="AC4" s="52" t="n">
        <v>9</v>
      </c>
      <c r="AD4" s="15" t="n">
        <v>8</v>
      </c>
      <c r="AE4" s="15" t="n"/>
      <c r="AF4" s="25">
        <f>SUM(テーブル13[[#This Row],[Listening正答数（大問1）]:[Listening正答数（大問3）]])</f>
        <v/>
      </c>
      <c r="AG4" s="78">
        <f>テーブル13[[#This Row],[Listening正答数]]/30</f>
        <v/>
      </c>
      <c r="AH4" s="52" t="n">
        <v>4</v>
      </c>
      <c r="AI4" s="15" t="n">
        <v>3</v>
      </c>
      <c r="AJ4" s="15" t="n">
        <v>3</v>
      </c>
      <c r="AK4" s="15" t="n">
        <v>3</v>
      </c>
      <c r="AL4" s="15" t="n">
        <v>3</v>
      </c>
      <c r="AM4" s="15" t="n">
        <v>3</v>
      </c>
      <c r="AN4" s="15" t="n">
        <v>4</v>
      </c>
      <c r="AO4" s="15" t="n">
        <v>3</v>
      </c>
      <c r="AP4" s="25">
        <f>SUM(テーブル13[[#This Row],[Writing設問1スコア（内容）]:[Writing設問2スコア（文法）]])</f>
        <v/>
      </c>
      <c r="AQ4" s="89" t="n"/>
      <c r="AR4" s="39" t="n">
        <v>3</v>
      </c>
      <c r="AS4" s="15" t="n">
        <v>20</v>
      </c>
      <c r="AT4" s="15" t="n">
        <v>2</v>
      </c>
      <c r="AU4" s="26">
        <f>SUM(テーブル13[[#This Row],[Speaking得点（リーディング）]:[Speaking得点（アティチュード）]])</f>
        <v/>
      </c>
    </row>
    <row r="5">
      <c r="A5" s="39" t="n">
        <v>2025</v>
      </c>
      <c r="B5" s="15" t="inlineStr">
        <is>
          <t>第2回</t>
        </is>
      </c>
      <c r="C5" s="15" t="inlineStr">
        <is>
          <t>2級</t>
        </is>
      </c>
      <c r="D5" s="15" t="inlineStr">
        <is>
          <t>高1</t>
        </is>
      </c>
      <c r="E5" s="15" t="inlineStr">
        <is>
          <t>石川 直樹</t>
        </is>
      </c>
      <c r="F5" s="15" t="inlineStr">
        <is>
          <t>無</t>
        </is>
      </c>
      <c r="G5" s="15" t="inlineStr">
        <is>
          <t>不合格</t>
        </is>
      </c>
      <c r="H5" s="15" t="inlineStr">
        <is>
          <t>－</t>
        </is>
      </c>
      <c r="I5" s="45" t="n"/>
      <c r="J5" s="52" t="inlineStr">
        <is>
          <t>G2 -1</t>
        </is>
      </c>
      <c r="K5" s="44" t="inlineStr">
        <is>
          <t>－</t>
        </is>
      </c>
      <c r="L5" s="52" t="n">
        <v>504</v>
      </c>
      <c r="M5" s="15" t="n">
        <v>518</v>
      </c>
      <c r="N5" s="15" t="n">
        <v>484</v>
      </c>
      <c r="O5" s="44" t="n">
        <v>1506</v>
      </c>
      <c r="P5" s="52" t="inlineStr">
        <is>
          <t>－</t>
        </is>
      </c>
      <c r="Q5" s="44" t="inlineStr">
        <is>
          <t>－</t>
        </is>
      </c>
      <c r="R5" s="52" t="inlineStr">
        <is>
          <t>A2</t>
        </is>
      </c>
      <c r="S5" s="15" t="inlineStr">
        <is>
          <t>B1</t>
        </is>
      </c>
      <c r="T5" s="44" t="inlineStr">
        <is>
          <t>B1</t>
        </is>
      </c>
      <c r="U5" s="64" t="inlineStr">
        <is>
          <t>－</t>
        </is>
      </c>
      <c r="V5" s="70" t="inlineStr">
        <is>
          <t>－</t>
        </is>
      </c>
      <c r="W5" s="52" t="n">
        <v>8</v>
      </c>
      <c r="X5" s="15" t="n">
        <v>3</v>
      </c>
      <c r="Y5" s="15" t="n">
        <v>6</v>
      </c>
      <c r="Z5" s="15" t="n"/>
      <c r="AA5" s="10">
        <f>SUM(テーブル13[[#This Row],[Reading正答数（大問1）]:[Reading正答数（大問4）]])</f>
        <v/>
      </c>
      <c r="AB5" s="77">
        <f>テーブル13[[#This Row],[リーディング正答数]]/31</f>
        <v/>
      </c>
      <c r="AC5" s="52" t="n">
        <v>11</v>
      </c>
      <c r="AD5" s="15" t="n">
        <v>10</v>
      </c>
      <c r="AE5" s="15" t="n"/>
      <c r="AF5" s="10">
        <f>SUM(テーブル13[[#This Row],[Listening正答数（大問1）]:[Listening正答数（大問3）]])</f>
        <v/>
      </c>
      <c r="AG5" s="77">
        <f>テーブル13[[#This Row],[Listening正答数]]/30</f>
        <v/>
      </c>
      <c r="AH5" s="52" t="n">
        <v>2</v>
      </c>
      <c r="AI5" s="15" t="n">
        <v>3</v>
      </c>
      <c r="AJ5" s="15" t="n">
        <v>2</v>
      </c>
      <c r="AK5" s="15" t="n">
        <v>2</v>
      </c>
      <c r="AL5" s="15" t="n">
        <v>2</v>
      </c>
      <c r="AM5" s="15" t="n">
        <v>3</v>
      </c>
      <c r="AN5" s="15" t="n">
        <v>3</v>
      </c>
      <c r="AO5" s="15" t="n">
        <v>2</v>
      </c>
      <c r="AP5" s="10">
        <f>SUM(テーブル13[[#This Row],[Writing設問1スコア（内容）]:[Writing設問2スコア（文法）]])</f>
        <v/>
      </c>
      <c r="AQ5" s="88" t="n"/>
      <c r="AR5" s="39" t="n"/>
      <c r="AS5" s="15" t="n"/>
      <c r="AT5" s="15" t="n"/>
      <c r="AU5" s="22" t="n"/>
    </row>
    <row r="6">
      <c r="A6" s="39" t="n">
        <v>2025</v>
      </c>
      <c r="B6" s="15" t="inlineStr">
        <is>
          <t>第2回</t>
        </is>
      </c>
      <c r="C6" s="15" t="inlineStr">
        <is>
          <t>2級</t>
        </is>
      </c>
      <c r="D6" s="15" t="inlineStr">
        <is>
          <t>高1</t>
        </is>
      </c>
      <c r="E6" s="15" t="inlineStr">
        <is>
          <t>舛谷 花音</t>
        </is>
      </c>
      <c r="F6" s="15" t="inlineStr">
        <is>
          <t>無</t>
        </is>
      </c>
      <c r="G6" s="15" t="inlineStr">
        <is>
          <t>不合格</t>
        </is>
      </c>
      <c r="H6" s="15" t="inlineStr">
        <is>
          <t>－</t>
        </is>
      </c>
      <c r="I6" s="45" t="n"/>
      <c r="J6" s="52" t="inlineStr">
        <is>
          <t>G2 -2</t>
        </is>
      </c>
      <c r="K6" s="44" t="inlineStr">
        <is>
          <t>－</t>
        </is>
      </c>
      <c r="L6" s="52" t="n">
        <v>492</v>
      </c>
      <c r="M6" s="15" t="n">
        <v>479</v>
      </c>
      <c r="N6" s="15" t="n">
        <v>518</v>
      </c>
      <c r="O6" s="44" t="n">
        <v>1489</v>
      </c>
      <c r="P6" s="52" t="inlineStr">
        <is>
          <t>－</t>
        </is>
      </c>
      <c r="Q6" s="44" t="inlineStr">
        <is>
          <t>－</t>
        </is>
      </c>
      <c r="R6" s="52" t="inlineStr">
        <is>
          <t>A2</t>
        </is>
      </c>
      <c r="S6" s="15" t="inlineStr">
        <is>
          <t>A2</t>
        </is>
      </c>
      <c r="T6" s="44" t="inlineStr">
        <is>
          <t>B1</t>
        </is>
      </c>
      <c r="U6" s="64" t="inlineStr">
        <is>
          <t>－</t>
        </is>
      </c>
      <c r="V6" s="70" t="inlineStr">
        <is>
          <t>－</t>
        </is>
      </c>
      <c r="W6" s="52" t="n">
        <v>10</v>
      </c>
      <c r="X6" s="15" t="n">
        <v>3</v>
      </c>
      <c r="Y6" s="15" t="n">
        <v>2</v>
      </c>
      <c r="Z6" s="15" t="n"/>
      <c r="AA6" s="10">
        <f>SUM(テーブル13[[#This Row],[Reading正答数（大問1）]:[Reading正答数（大問4）]])</f>
        <v/>
      </c>
      <c r="AB6" s="77">
        <f>テーブル13[[#This Row],[リーディング正答数]]/31</f>
        <v/>
      </c>
      <c r="AC6" s="52" t="n">
        <v>8</v>
      </c>
      <c r="AD6" s="15" t="n">
        <v>8</v>
      </c>
      <c r="AE6" s="15" t="n"/>
      <c r="AF6" s="10">
        <f>SUM(テーブル13[[#This Row],[Listening正答数（大問1）]:[Listening正答数（大問3）]])</f>
        <v/>
      </c>
      <c r="AG6" s="77">
        <f>テーブル13[[#This Row],[Listening正答数]]/30</f>
        <v/>
      </c>
      <c r="AH6" s="52" t="n">
        <v>3</v>
      </c>
      <c r="AI6" s="15" t="n">
        <v>3</v>
      </c>
      <c r="AJ6" s="15" t="n">
        <v>2</v>
      </c>
      <c r="AK6" s="15" t="n">
        <v>2</v>
      </c>
      <c r="AL6" s="15" t="n">
        <v>3</v>
      </c>
      <c r="AM6" s="15" t="n">
        <v>3</v>
      </c>
      <c r="AN6" s="15" t="n">
        <v>3</v>
      </c>
      <c r="AO6" s="15" t="n">
        <v>3</v>
      </c>
      <c r="AP6" s="10">
        <f>SUM(テーブル13[[#This Row],[Writing設問1スコア（内容）]:[Writing設問2スコア（文法）]])</f>
        <v/>
      </c>
      <c r="AQ6" s="88" t="n"/>
      <c r="AR6" s="39" t="n"/>
      <c r="AS6" s="15" t="n"/>
      <c r="AT6" s="15" t="n"/>
      <c r="AU6" s="22" t="n"/>
    </row>
    <row r="7">
      <c r="A7" s="39" t="n">
        <v>2025</v>
      </c>
      <c r="B7" s="15" t="inlineStr">
        <is>
          <t>第2回</t>
        </is>
      </c>
      <c r="C7" s="15" t="inlineStr">
        <is>
          <t>2級</t>
        </is>
      </c>
      <c r="D7" s="15" t="inlineStr">
        <is>
          <t>中3</t>
        </is>
      </c>
      <c r="E7" s="15" t="inlineStr">
        <is>
          <t>西村 心玖</t>
        </is>
      </c>
      <c r="F7" s="15" t="inlineStr">
        <is>
          <t>無</t>
        </is>
      </c>
      <c r="G7" s="15" t="inlineStr">
        <is>
          <t>不合格</t>
        </is>
      </c>
      <c r="H7" s="15" t="inlineStr">
        <is>
          <t>－</t>
        </is>
      </c>
      <c r="I7" s="45" t="n"/>
      <c r="J7" s="52" t="inlineStr">
        <is>
          <t>G2 -1</t>
        </is>
      </c>
      <c r="K7" s="44" t="inlineStr">
        <is>
          <t>－</t>
        </is>
      </c>
      <c r="L7" s="52" t="n">
        <v>486</v>
      </c>
      <c r="M7" s="15" t="n">
        <v>502</v>
      </c>
      <c r="N7" s="15" t="n">
        <v>518</v>
      </c>
      <c r="O7" s="44" t="n">
        <v>1506</v>
      </c>
      <c r="P7" s="52" t="inlineStr">
        <is>
          <t>－</t>
        </is>
      </c>
      <c r="Q7" s="44" t="inlineStr">
        <is>
          <t>－</t>
        </is>
      </c>
      <c r="R7" s="52" t="inlineStr">
        <is>
          <t>A2</t>
        </is>
      </c>
      <c r="S7" s="15" t="inlineStr">
        <is>
          <t>B1</t>
        </is>
      </c>
      <c r="T7" s="44" t="inlineStr">
        <is>
          <t>B1</t>
        </is>
      </c>
      <c r="U7" s="64" t="inlineStr">
        <is>
          <t>－</t>
        </is>
      </c>
      <c r="V7" s="70" t="inlineStr">
        <is>
          <t>－</t>
        </is>
      </c>
      <c r="W7" s="52" t="n">
        <v>4</v>
      </c>
      <c r="X7" s="15" t="n">
        <v>4</v>
      </c>
      <c r="Y7" s="15" t="n">
        <v>6</v>
      </c>
      <c r="Z7" s="15" t="n"/>
      <c r="AA7" s="10">
        <f>SUM(テーブル13[[#This Row],[Reading正答数（大問1）]:[Reading正答数（大問4）]])</f>
        <v/>
      </c>
      <c r="AB7" s="77">
        <f>テーブル13[[#This Row],[リーディング正答数]]/31</f>
        <v/>
      </c>
      <c r="AC7" s="52" t="n">
        <v>8</v>
      </c>
      <c r="AD7" s="15" t="n">
        <v>11</v>
      </c>
      <c r="AE7" s="15" t="n"/>
      <c r="AF7" s="10">
        <f>SUM(テーブル13[[#This Row],[Listening正答数（大問1）]:[Listening正答数（大問3）]])</f>
        <v/>
      </c>
      <c r="AG7" s="77">
        <f>テーブル13[[#This Row],[Listening正答数]]/30</f>
        <v/>
      </c>
      <c r="AH7" s="52" t="n">
        <v>3</v>
      </c>
      <c r="AI7" s="15" t="n">
        <v>3</v>
      </c>
      <c r="AJ7" s="15" t="n">
        <v>3</v>
      </c>
      <c r="AK7" s="15" t="n">
        <v>3</v>
      </c>
      <c r="AL7" s="15" t="n">
        <v>2</v>
      </c>
      <c r="AM7" s="15" t="n">
        <v>3</v>
      </c>
      <c r="AN7" s="15" t="n">
        <v>3</v>
      </c>
      <c r="AO7" s="15" t="n">
        <v>2</v>
      </c>
      <c r="AP7" s="10">
        <f>SUM(テーブル13[[#This Row],[Writing設問1スコア（内容）]:[Writing設問2スコア（文法）]])</f>
        <v/>
      </c>
      <c r="AQ7" s="88" t="n"/>
      <c r="AR7" s="39" t="n"/>
      <c r="AS7" s="15" t="n"/>
      <c r="AT7" s="15" t="n"/>
      <c r="AU7" s="22" t="n"/>
    </row>
    <row r="8">
      <c r="A8" s="39" t="n">
        <v>2025</v>
      </c>
      <c r="B8" s="15" t="inlineStr">
        <is>
          <t>第2回</t>
        </is>
      </c>
      <c r="C8" s="15" t="inlineStr">
        <is>
          <t>2級</t>
        </is>
      </c>
      <c r="D8" s="15" t="inlineStr">
        <is>
          <t>高1</t>
        </is>
      </c>
      <c r="E8" s="15" t="inlineStr">
        <is>
          <t>岩佐 叡都</t>
        </is>
      </c>
      <c r="F8" s="15" t="inlineStr">
        <is>
          <t>無</t>
        </is>
      </c>
      <c r="G8" s="15" t="inlineStr">
        <is>
          <t>不合格</t>
        </is>
      </c>
      <c r="H8" s="15" t="inlineStr">
        <is>
          <t>－</t>
        </is>
      </c>
      <c r="I8" s="45" t="n"/>
      <c r="J8" s="52" t="inlineStr">
        <is>
          <t>G2 -7</t>
        </is>
      </c>
      <c r="K8" s="44" t="inlineStr">
        <is>
          <t>－</t>
        </is>
      </c>
      <c r="L8" s="52" t="n">
        <v>455</v>
      </c>
      <c r="M8" s="15" t="n">
        <v>465</v>
      </c>
      <c r="N8" s="15" t="n">
        <v>441</v>
      </c>
      <c r="O8" s="44" t="n">
        <v>1361</v>
      </c>
      <c r="P8" s="52" t="inlineStr">
        <is>
          <t>－</t>
        </is>
      </c>
      <c r="Q8" s="44" t="inlineStr">
        <is>
          <t>－</t>
        </is>
      </c>
      <c r="R8" s="52" t="inlineStr">
        <is>
          <t>A2</t>
        </is>
      </c>
      <c r="S8" s="15" t="inlineStr">
        <is>
          <t>A2</t>
        </is>
      </c>
      <c r="T8" s="44" t="inlineStr">
        <is>
          <t>A2</t>
        </is>
      </c>
      <c r="U8" s="64" t="inlineStr">
        <is>
          <t>－</t>
        </is>
      </c>
      <c r="V8" s="70" t="inlineStr">
        <is>
          <t>－</t>
        </is>
      </c>
      <c r="W8" s="52" t="n">
        <v>6</v>
      </c>
      <c r="X8" s="15" t="n">
        <v>3</v>
      </c>
      <c r="Y8" s="15" t="n">
        <v>0</v>
      </c>
      <c r="Z8" s="15" t="n"/>
      <c r="AA8" s="10">
        <f>SUM(テーブル13[[#This Row],[Reading正答数（大問1）]:[Reading正答数（大問4）]])</f>
        <v/>
      </c>
      <c r="AB8" s="77">
        <f>テーブル13[[#This Row],[リーディング正答数]]/31</f>
        <v/>
      </c>
      <c r="AC8" s="52" t="n">
        <v>6</v>
      </c>
      <c r="AD8" s="15" t="n">
        <v>8</v>
      </c>
      <c r="AE8" s="15" t="n"/>
      <c r="AF8" s="10">
        <f>SUM(テーブル13[[#This Row],[Listening正答数（大問1）]:[Listening正答数（大問3）]])</f>
        <v/>
      </c>
      <c r="AG8" s="77">
        <f>テーブル13[[#This Row],[Listening正答数]]/30</f>
        <v/>
      </c>
      <c r="AH8" s="52" t="n">
        <v>2</v>
      </c>
      <c r="AI8" s="15" t="n">
        <v>2</v>
      </c>
      <c r="AJ8" s="15" t="n">
        <v>1</v>
      </c>
      <c r="AK8" s="15" t="n">
        <v>1</v>
      </c>
      <c r="AL8" s="15" t="n">
        <v>2</v>
      </c>
      <c r="AM8" s="15" t="n">
        <v>2</v>
      </c>
      <c r="AN8" s="15" t="n">
        <v>2</v>
      </c>
      <c r="AO8" s="15" t="n">
        <v>2</v>
      </c>
      <c r="AP8" s="10">
        <f>SUM(テーブル13[[#This Row],[Writing設問1スコア（内容）]:[Writing設問2スコア（文法）]])</f>
        <v/>
      </c>
      <c r="AQ8" s="88" t="n"/>
      <c r="AR8" s="39" t="n"/>
      <c r="AS8" s="15" t="n"/>
      <c r="AT8" s="15" t="n"/>
      <c r="AU8" s="22" t="n"/>
    </row>
    <row r="9" customFormat="1" s="27">
      <c r="A9" s="39" t="n">
        <v>2025</v>
      </c>
      <c r="B9" s="15" t="inlineStr">
        <is>
          <t>第2回</t>
        </is>
      </c>
      <c r="C9" s="15" t="inlineStr">
        <is>
          <t>2級</t>
        </is>
      </c>
      <c r="D9" s="15" t="inlineStr">
        <is>
          <t>高2</t>
        </is>
      </c>
      <c r="E9" s="15" t="inlineStr">
        <is>
          <t>永吉 希帆</t>
        </is>
      </c>
      <c r="F9" s="15" t="inlineStr">
        <is>
          <t>無</t>
        </is>
      </c>
      <c r="G9" s="15" t="inlineStr">
        <is>
          <t>合格</t>
        </is>
      </c>
      <c r="H9" s="15" t="inlineStr">
        <is>
          <t>不合格</t>
        </is>
      </c>
      <c r="I9" s="45" t="inlineStr">
        <is>
          <t>不合格</t>
        </is>
      </c>
      <c r="J9" s="52" t="inlineStr">
        <is>
          <t>G2 +2</t>
        </is>
      </c>
      <c r="K9" s="44" t="inlineStr">
        <is>
          <t>G2 -1</t>
        </is>
      </c>
      <c r="L9" s="52" t="n">
        <v>504</v>
      </c>
      <c r="M9" s="15" t="n">
        <v>510</v>
      </c>
      <c r="N9" s="15" t="n">
        <v>543</v>
      </c>
      <c r="O9" s="101" t="n">
        <v>1557</v>
      </c>
      <c r="P9" s="52" t="n">
        <v>441</v>
      </c>
      <c r="Q9" s="44" t="n">
        <v>1998</v>
      </c>
      <c r="R9" s="52" t="inlineStr">
        <is>
          <t>A2</t>
        </is>
      </c>
      <c r="S9" s="15" t="inlineStr">
        <is>
          <t>B1</t>
        </is>
      </c>
      <c r="T9" s="44" t="inlineStr">
        <is>
          <t>B1</t>
        </is>
      </c>
      <c r="U9" s="64" t="inlineStr">
        <is>
          <t>A2</t>
        </is>
      </c>
      <c r="V9" s="70" t="inlineStr">
        <is>
          <t>B1</t>
        </is>
      </c>
      <c r="W9" s="52" t="n">
        <v>7</v>
      </c>
      <c r="X9" s="15" t="n">
        <v>5</v>
      </c>
      <c r="Y9" s="15" t="n">
        <v>5</v>
      </c>
      <c r="Z9" s="15" t="n"/>
      <c r="AA9" s="25">
        <f>SUM(テーブル13[[#This Row],[Reading正答数（大問1）]:[Reading正答数（大問4）]])</f>
        <v/>
      </c>
      <c r="AB9" s="78">
        <f>テーブル13[[#This Row],[リーディング正答数]]/31</f>
        <v/>
      </c>
      <c r="AC9" s="52" t="n">
        <v>11</v>
      </c>
      <c r="AD9" s="15" t="n">
        <v>9</v>
      </c>
      <c r="AE9" s="15" t="n"/>
      <c r="AF9" s="25">
        <f>SUM(テーブル13[[#This Row],[Listening正答数（大問1）]:[Listening正答数（大問3）]])</f>
        <v/>
      </c>
      <c r="AG9" s="78">
        <f>テーブル13[[#This Row],[Listening正答数]]/30</f>
        <v/>
      </c>
      <c r="AH9" s="52" t="n">
        <v>3</v>
      </c>
      <c r="AI9" s="15" t="n">
        <v>3</v>
      </c>
      <c r="AJ9" s="15" t="n">
        <v>3</v>
      </c>
      <c r="AK9" s="15" t="n">
        <v>3</v>
      </c>
      <c r="AL9" s="15" t="n">
        <v>3</v>
      </c>
      <c r="AM9" s="15" t="n">
        <v>3</v>
      </c>
      <c r="AN9" s="15" t="n">
        <v>3</v>
      </c>
      <c r="AO9" s="15" t="n">
        <v>3</v>
      </c>
      <c r="AP9" s="25">
        <f>SUM(テーブル13[[#This Row],[Writing設問1スコア（内容）]:[Writing設問2スコア（文法）]])</f>
        <v/>
      </c>
      <c r="AQ9" s="89" t="n"/>
      <c r="AR9" s="39" t="n">
        <v>3</v>
      </c>
      <c r="AS9" s="15" t="n">
        <v>11</v>
      </c>
      <c r="AT9" s="15" t="n">
        <v>3</v>
      </c>
      <c r="AU9" s="26">
        <f>SUM(テーブル13[[#This Row],[Speaking得点（リーディング）]:[Speaking得点（アティチュード）]])</f>
        <v/>
      </c>
    </row>
    <row r="10" ht="19.5" customFormat="1" customHeight="1" s="27" thickBot="1">
      <c r="A10" s="40" t="n">
        <v>2025</v>
      </c>
      <c r="B10" s="16" t="inlineStr">
        <is>
          <t>第2回</t>
        </is>
      </c>
      <c r="C10" s="16" t="inlineStr">
        <is>
          <t>2級</t>
        </is>
      </c>
      <c r="D10" s="16" t="inlineStr">
        <is>
          <t>高2</t>
        </is>
      </c>
      <c r="E10" s="16" t="inlineStr">
        <is>
          <t>酒井 梨緒</t>
        </is>
      </c>
      <c r="F10" s="16" t="inlineStr">
        <is>
          <t>無</t>
        </is>
      </c>
      <c r="G10" s="16" t="inlineStr">
        <is>
          <t>合格</t>
        </is>
      </c>
      <c r="H10" s="16" t="inlineStr">
        <is>
          <t>合格</t>
        </is>
      </c>
      <c r="I10" s="46" t="inlineStr">
        <is>
          <t>合格</t>
        </is>
      </c>
      <c r="J10" s="53" t="inlineStr">
        <is>
          <t>G2 +1</t>
        </is>
      </c>
      <c r="K10" s="54" t="inlineStr">
        <is>
          <t>G2 +2</t>
        </is>
      </c>
      <c r="L10" s="53" t="n">
        <v>498</v>
      </c>
      <c r="M10" s="16" t="n">
        <v>442</v>
      </c>
      <c r="N10" s="16" t="n">
        <v>584</v>
      </c>
      <c r="O10" s="102" t="n">
        <v>1524</v>
      </c>
      <c r="P10" s="53" t="n">
        <v>488</v>
      </c>
      <c r="Q10" s="105" t="n">
        <v>2012</v>
      </c>
      <c r="R10" s="53" t="inlineStr">
        <is>
          <t>A2</t>
        </is>
      </c>
      <c r="S10" s="16" t="inlineStr">
        <is>
          <t>－</t>
        </is>
      </c>
      <c r="T10" s="54" t="inlineStr">
        <is>
          <t>B1</t>
        </is>
      </c>
      <c r="U10" s="65" t="inlineStr">
        <is>
          <t>B1</t>
        </is>
      </c>
      <c r="V10" s="71" t="inlineStr">
        <is>
          <t>B1</t>
        </is>
      </c>
      <c r="W10" s="53" t="n">
        <v>9</v>
      </c>
      <c r="X10" s="16" t="n">
        <v>3</v>
      </c>
      <c r="Y10" s="16" t="n">
        <v>4</v>
      </c>
      <c r="Z10" s="16" t="n"/>
      <c r="AA10" s="29">
        <f>SUM(テーブル13[[#This Row],[Reading正答数（大問1）]:[Reading正答数（大問4）]])</f>
        <v/>
      </c>
      <c r="AB10" s="79">
        <f>テーブル13[[#This Row],[リーディング正答数]]/31</f>
        <v/>
      </c>
      <c r="AC10" s="53" t="n">
        <v>3</v>
      </c>
      <c r="AD10" s="16" t="n">
        <v>8</v>
      </c>
      <c r="AE10" s="16" t="n"/>
      <c r="AF10" s="29">
        <f>SUM(テーブル13[[#This Row],[Listening正答数（大問1）]:[Listening正答数（大問3）]])</f>
        <v/>
      </c>
      <c r="AG10" s="79">
        <f>テーブル13[[#This Row],[Listening正答数]]/30</f>
        <v/>
      </c>
      <c r="AH10" s="53" t="n">
        <v>4</v>
      </c>
      <c r="AI10" s="16" t="n">
        <v>4</v>
      </c>
      <c r="AJ10" s="16" t="n">
        <v>3</v>
      </c>
      <c r="AK10" s="16" t="n">
        <v>3</v>
      </c>
      <c r="AL10" s="16" t="n">
        <v>4</v>
      </c>
      <c r="AM10" s="16" t="n">
        <v>3</v>
      </c>
      <c r="AN10" s="16" t="n">
        <v>3</v>
      </c>
      <c r="AO10" s="16" t="n">
        <v>3</v>
      </c>
      <c r="AP10" s="29">
        <f>SUM(テーブル13[[#This Row],[Writing設問1スコア（内容）]:[Writing設問2スコア（文法）]])</f>
        <v/>
      </c>
      <c r="AQ10" s="90" t="n"/>
      <c r="AR10" s="40" t="n">
        <v>4</v>
      </c>
      <c r="AS10" s="16" t="n">
        <v>18</v>
      </c>
      <c r="AT10" s="16" t="n">
        <v>3</v>
      </c>
      <c r="AU10" s="30">
        <f>SUM(テーブル13[[#This Row],[Speaking得点（リーディング）]:[Speaking得点（アティチュード）]])</f>
        <v/>
      </c>
    </row>
    <row r="11" ht="20.25" customFormat="1" customHeight="1" s="27" thickBot="1" thickTop="1">
      <c r="A11" s="41" t="n">
        <v>2025</v>
      </c>
      <c r="B11" s="17" t="inlineStr">
        <is>
          <t>第1回</t>
        </is>
      </c>
      <c r="C11" s="17" t="inlineStr">
        <is>
          <t>準2級+</t>
        </is>
      </c>
      <c r="D11" s="17" t="inlineStr">
        <is>
          <t>高2</t>
        </is>
      </c>
      <c r="E11" s="17" t="inlineStr">
        <is>
          <t>酒井 梨緒</t>
        </is>
      </c>
      <c r="F11" s="17" t="inlineStr">
        <is>
          <t>無</t>
        </is>
      </c>
      <c r="G11" s="17" t="inlineStr">
        <is>
          <t>合格</t>
        </is>
      </c>
      <c r="H11" s="17" t="inlineStr">
        <is>
          <t>合格</t>
        </is>
      </c>
      <c r="I11" s="47" t="inlineStr">
        <is>
          <t>合格</t>
        </is>
      </c>
      <c r="J11" s="55" t="inlineStr">
        <is>
          <t>GP2Plus +1</t>
        </is>
      </c>
      <c r="K11" s="56" t="inlineStr">
        <is>
          <t>GP2Plus +1</t>
        </is>
      </c>
      <c r="L11" s="55" t="n">
        <v>489</v>
      </c>
      <c r="M11" s="17" t="n">
        <v>413</v>
      </c>
      <c r="N11" s="17" t="n">
        <v>505</v>
      </c>
      <c r="O11" s="103" t="n">
        <v>1407</v>
      </c>
      <c r="P11" s="55" t="n">
        <v>440</v>
      </c>
      <c r="Q11" s="106" t="n">
        <v>1847</v>
      </c>
      <c r="R11" s="55" t="inlineStr">
        <is>
          <t>A2</t>
        </is>
      </c>
      <c r="S11" s="17" t="inlineStr">
        <is>
          <t>A1</t>
        </is>
      </c>
      <c r="T11" s="56" t="inlineStr">
        <is>
          <t>A2</t>
        </is>
      </c>
      <c r="U11" s="66" t="inlineStr">
        <is>
          <t>A2</t>
        </is>
      </c>
      <c r="V11" s="72" t="inlineStr">
        <is>
          <t>A2</t>
        </is>
      </c>
      <c r="W11" s="55" t="n">
        <v>8</v>
      </c>
      <c r="X11" s="17" t="n">
        <v>5</v>
      </c>
      <c r="Y11" s="17" t="n">
        <v>7</v>
      </c>
      <c r="Z11" s="17" t="n"/>
      <c r="AA11" s="31">
        <f>SUM(テーブル13[[#This Row],[Reading正答数（大問1）]:[Reading正答数（大問4）]])</f>
        <v/>
      </c>
      <c r="AB11" s="80">
        <f>テーブル13[[#This Row],[リーディング正答数]]/31</f>
        <v/>
      </c>
      <c r="AC11" s="55" t="n">
        <v>6</v>
      </c>
      <c r="AD11" s="17" t="n">
        <v>4</v>
      </c>
      <c r="AE11" s="17" t="n"/>
      <c r="AF11" s="31">
        <f>SUM(テーブル13[[#This Row],[Listening正答数（大問1）]:[Listening正答数（大問3）]])</f>
        <v/>
      </c>
      <c r="AG11" s="80">
        <f>テーブル13[[#This Row],[Listening正答数]]/30</f>
        <v/>
      </c>
      <c r="AH11" s="55" t="n">
        <v>2</v>
      </c>
      <c r="AI11" s="17" t="n">
        <v>3</v>
      </c>
      <c r="AJ11" s="17" t="n">
        <v>3</v>
      </c>
      <c r="AK11" s="17" t="n">
        <v>3</v>
      </c>
      <c r="AL11" s="17" t="n">
        <v>4</v>
      </c>
      <c r="AM11" s="17" t="n">
        <v>3</v>
      </c>
      <c r="AN11" s="17" t="n">
        <v>4</v>
      </c>
      <c r="AO11" s="17" t="n">
        <v>3</v>
      </c>
      <c r="AP11" s="31">
        <f>SUM(テーブル13[[#This Row],[Writing設問1スコア（内容）]:[Writing設問2スコア（文法）]])</f>
        <v/>
      </c>
      <c r="AQ11" s="91" t="n"/>
      <c r="AR11" s="41" t="n">
        <v>3</v>
      </c>
      <c r="AS11" s="17" t="n">
        <v>19</v>
      </c>
      <c r="AT11" s="17" t="n">
        <v>1</v>
      </c>
      <c r="AU11" s="32">
        <f>SUM(テーブル13[[#This Row],[Speaking得点（リーディング）]:[Speaking得点（アティチュード）]])</f>
        <v/>
      </c>
    </row>
    <row r="12" ht="19.5" customHeight="1" s="107" thickTop="1">
      <c r="A12" s="42" t="n">
        <v>2025</v>
      </c>
      <c r="B12" s="18" t="inlineStr">
        <is>
          <t>第1回</t>
        </is>
      </c>
      <c r="C12" s="18" t="inlineStr">
        <is>
          <t>準2級</t>
        </is>
      </c>
      <c r="D12" s="18" t="inlineStr">
        <is>
          <t>高3</t>
        </is>
      </c>
      <c r="E12" s="18" t="inlineStr">
        <is>
          <t>福島 彩月</t>
        </is>
      </c>
      <c r="F12" s="18" t="inlineStr">
        <is>
          <t>無</t>
        </is>
      </c>
      <c r="G12" s="18" t="inlineStr">
        <is>
          <t>不合格</t>
        </is>
      </c>
      <c r="H12" s="18" t="inlineStr">
        <is>
          <t>－</t>
        </is>
      </c>
      <c r="I12" s="48" t="n"/>
      <c r="J12" s="57" t="inlineStr">
        <is>
          <t>GP2 -1</t>
        </is>
      </c>
      <c r="K12" s="58" t="inlineStr">
        <is>
          <t>－</t>
        </is>
      </c>
      <c r="L12" s="57" t="n">
        <v>408</v>
      </c>
      <c r="M12" s="18" t="n">
        <v>415</v>
      </c>
      <c r="N12" s="18" t="n">
        <v>473</v>
      </c>
      <c r="O12" s="58" t="n">
        <v>1296</v>
      </c>
      <c r="P12" s="57" t="inlineStr">
        <is>
          <t>－</t>
        </is>
      </c>
      <c r="Q12" s="58" t="inlineStr">
        <is>
          <t>－</t>
        </is>
      </c>
      <c r="R12" s="57" t="inlineStr">
        <is>
          <t>A1</t>
        </is>
      </c>
      <c r="S12" s="18" t="inlineStr">
        <is>
          <t>A1</t>
        </is>
      </c>
      <c r="T12" s="58" t="inlineStr">
        <is>
          <t>A2</t>
        </is>
      </c>
      <c r="U12" s="67" t="inlineStr">
        <is>
          <t>－</t>
        </is>
      </c>
      <c r="V12" s="73" t="inlineStr">
        <is>
          <t>－</t>
        </is>
      </c>
      <c r="W12" s="57" t="n">
        <v>8</v>
      </c>
      <c r="X12" s="18" t="n">
        <v>2</v>
      </c>
      <c r="Y12" s="18" t="n">
        <v>0</v>
      </c>
      <c r="Z12" s="18" t="n">
        <v>1</v>
      </c>
      <c r="AA12" s="13">
        <f>SUM(テーブル13[[#This Row],[Reading正答数（大問1）]:[Reading正答数（大問4）]])</f>
        <v/>
      </c>
      <c r="AB12" s="81">
        <f>テーブル13[[#This Row],[リーディング正答数]]/29</f>
        <v/>
      </c>
      <c r="AC12" s="57" t="n">
        <v>5</v>
      </c>
      <c r="AD12" s="18" t="n">
        <v>4</v>
      </c>
      <c r="AE12" s="18" t="n">
        <v>5</v>
      </c>
      <c r="AF12" s="13">
        <f>SUM(テーブル13[[#This Row],[Listening正答数（大問1）]:[Listening正答数（大問3）]])</f>
        <v/>
      </c>
      <c r="AG12" s="81">
        <f>テーブル13[[#This Row],[Listening正答数]]/30</f>
        <v/>
      </c>
      <c r="AH12" s="57" t="n">
        <v>2</v>
      </c>
      <c r="AI12" s="18" t="n"/>
      <c r="AJ12" s="18" t="n">
        <v>2</v>
      </c>
      <c r="AK12" s="18" t="n">
        <v>3</v>
      </c>
      <c r="AL12" s="18" t="n">
        <v>4</v>
      </c>
      <c r="AM12" s="18" t="n">
        <v>3</v>
      </c>
      <c r="AN12" s="18" t="n">
        <v>3</v>
      </c>
      <c r="AO12" s="18" t="n">
        <v>3</v>
      </c>
      <c r="AP12" s="13">
        <f>SUM(テーブル13[[#This Row],[Writing設問1スコア（内容）]:[Writing設問2スコア（文法）]])</f>
        <v/>
      </c>
      <c r="AQ12" s="92" t="n"/>
      <c r="AR12" s="42" t="n"/>
      <c r="AS12" s="18" t="n"/>
      <c r="AT12" s="18" t="n"/>
      <c r="AU12" s="23" t="n"/>
    </row>
    <row r="13">
      <c r="A13" s="39" t="n">
        <v>2025</v>
      </c>
      <c r="B13" s="15" t="inlineStr">
        <is>
          <t>第1回</t>
        </is>
      </c>
      <c r="C13" s="15" t="inlineStr">
        <is>
          <t>準2級</t>
        </is>
      </c>
      <c r="D13" s="15" t="inlineStr">
        <is>
          <t>高1</t>
        </is>
      </c>
      <c r="E13" s="15" t="inlineStr">
        <is>
          <t>大場 智世</t>
        </is>
      </c>
      <c r="F13" s="15" t="inlineStr">
        <is>
          <t>無</t>
        </is>
      </c>
      <c r="G13" s="15" t="inlineStr">
        <is>
          <t>不合格</t>
        </is>
      </c>
      <c r="H13" s="15" t="inlineStr">
        <is>
          <t>－</t>
        </is>
      </c>
      <c r="I13" s="45" t="n"/>
      <c r="J13" s="52" t="inlineStr">
        <is>
          <t>GP2 -1</t>
        </is>
      </c>
      <c r="K13" s="44" t="inlineStr">
        <is>
          <t>－</t>
        </is>
      </c>
      <c r="L13" s="52" t="n">
        <v>454</v>
      </c>
      <c r="M13" s="15" t="n">
        <v>436</v>
      </c>
      <c r="N13" s="15" t="n">
        <v>423</v>
      </c>
      <c r="O13" s="44" t="n">
        <v>1313</v>
      </c>
      <c r="P13" s="52" t="inlineStr">
        <is>
          <t>－</t>
        </is>
      </c>
      <c r="Q13" s="44" t="inlineStr">
        <is>
          <t>－</t>
        </is>
      </c>
      <c r="R13" s="52" t="inlineStr">
        <is>
          <t>A2</t>
        </is>
      </c>
      <c r="S13" s="15" t="inlineStr">
        <is>
          <t>A1</t>
        </is>
      </c>
      <c r="T13" s="44" t="inlineStr">
        <is>
          <t>A2</t>
        </is>
      </c>
      <c r="U13" s="64" t="inlineStr">
        <is>
          <t>－</t>
        </is>
      </c>
      <c r="V13" s="70" t="inlineStr">
        <is>
          <t>－</t>
        </is>
      </c>
      <c r="W13" s="52" t="n">
        <v>8</v>
      </c>
      <c r="X13" s="15" t="n">
        <v>3</v>
      </c>
      <c r="Y13" s="15" t="n">
        <v>2</v>
      </c>
      <c r="Z13" s="15" t="n">
        <v>5</v>
      </c>
      <c r="AA13" s="10">
        <f>SUM(テーブル13[[#This Row],[Reading正答数（大問1）]:[Reading正答数（大問4）]])</f>
        <v/>
      </c>
      <c r="AB13" s="77">
        <f>テーブル13[[#This Row],[リーディング正答数]]/29</f>
        <v/>
      </c>
      <c r="AC13" s="52" t="n">
        <v>8</v>
      </c>
      <c r="AD13" s="15" t="n">
        <v>3</v>
      </c>
      <c r="AE13" s="15" t="n">
        <v>6</v>
      </c>
      <c r="AF13" s="10">
        <f>SUM(テーブル13[[#This Row],[Listening正答数（大問1）]:[Listening正答数（大問3）]])</f>
        <v/>
      </c>
      <c r="AG13" s="77">
        <f>テーブル13[[#This Row],[Listening正答数]]/30</f>
        <v/>
      </c>
      <c r="AH13" s="52" t="n">
        <v>2</v>
      </c>
      <c r="AI13" s="15" t="n"/>
      <c r="AJ13" s="15" t="n">
        <v>3</v>
      </c>
      <c r="AK13" s="15" t="n">
        <v>3</v>
      </c>
      <c r="AL13" s="15" t="n">
        <v>2</v>
      </c>
      <c r="AM13" s="15" t="n">
        <v>2</v>
      </c>
      <c r="AN13" s="15" t="n">
        <v>2</v>
      </c>
      <c r="AO13" s="15" t="n">
        <v>2</v>
      </c>
      <c r="AP13" s="10">
        <f>SUM(テーブル13[[#This Row],[Writing設問1スコア（内容）]:[Writing設問2スコア（文法）]])</f>
        <v/>
      </c>
      <c r="AQ13" s="88" t="n"/>
      <c r="AR13" s="39" t="n"/>
      <c r="AS13" s="15" t="n"/>
      <c r="AT13" s="15" t="n"/>
      <c r="AU13" s="22" t="n"/>
    </row>
    <row r="14">
      <c r="A14" s="39" t="n">
        <v>2025</v>
      </c>
      <c r="B14" s="15" t="inlineStr">
        <is>
          <t>第1回</t>
        </is>
      </c>
      <c r="C14" s="15" t="inlineStr">
        <is>
          <t>準2級</t>
        </is>
      </c>
      <c r="D14" s="15" t="inlineStr">
        <is>
          <t>中1</t>
        </is>
      </c>
      <c r="E14" s="15" t="inlineStr">
        <is>
          <t>柳川 花南</t>
        </is>
      </c>
      <c r="F14" s="15" t="inlineStr">
        <is>
          <t>無</t>
        </is>
      </c>
      <c r="G14" s="15" t="inlineStr">
        <is>
          <t>不合格</t>
        </is>
      </c>
      <c r="H14" s="15" t="inlineStr">
        <is>
          <t>－</t>
        </is>
      </c>
      <c r="I14" s="45" t="n"/>
      <c r="J14" s="52" t="inlineStr">
        <is>
          <t>GP2 -20</t>
        </is>
      </c>
      <c r="K14" s="44" t="inlineStr">
        <is>
          <t>－</t>
        </is>
      </c>
      <c r="L14" s="52" t="n">
        <v>408</v>
      </c>
      <c r="M14" s="15" t="n">
        <v>415</v>
      </c>
      <c r="N14" s="15" t="n">
        <v>0</v>
      </c>
      <c r="O14" s="44" t="n">
        <v>823</v>
      </c>
      <c r="P14" s="52" t="inlineStr">
        <is>
          <t>－</t>
        </is>
      </c>
      <c r="Q14" s="44" t="inlineStr">
        <is>
          <t>－</t>
        </is>
      </c>
      <c r="R14" s="52" t="inlineStr">
        <is>
          <t>A1</t>
        </is>
      </c>
      <c r="S14" s="15" t="inlineStr">
        <is>
          <t>A1</t>
        </is>
      </c>
      <c r="T14" s="44" t="inlineStr">
        <is>
          <t>－</t>
        </is>
      </c>
      <c r="U14" s="64" t="inlineStr">
        <is>
          <t>－</t>
        </is>
      </c>
      <c r="V14" s="70" t="inlineStr">
        <is>
          <t>－</t>
        </is>
      </c>
      <c r="W14" s="52" t="n">
        <v>6</v>
      </c>
      <c r="X14" s="15" t="n">
        <v>3</v>
      </c>
      <c r="Y14" s="15" t="n">
        <v>0</v>
      </c>
      <c r="Z14" s="15" t="n">
        <v>2</v>
      </c>
      <c r="AA14" s="10">
        <f>SUM(テーブル13[[#This Row],[Reading正答数（大問1）]:[Reading正答数（大問4）]])</f>
        <v/>
      </c>
      <c r="AB14" s="77">
        <f>テーブル13[[#This Row],[リーディング正答数]]/29</f>
        <v/>
      </c>
      <c r="AC14" s="52" t="n">
        <v>6</v>
      </c>
      <c r="AD14" s="15" t="n">
        <v>3</v>
      </c>
      <c r="AE14" s="15" t="n">
        <v>5</v>
      </c>
      <c r="AF14" s="10">
        <f>SUM(テーブル13[[#This Row],[Listening正答数（大問1）]:[Listening正答数（大問3）]])</f>
        <v/>
      </c>
      <c r="AG14" s="77">
        <f>テーブル13[[#This Row],[Listening正答数]]/30</f>
        <v/>
      </c>
      <c r="AH14" s="52" t="n">
        <v>0</v>
      </c>
      <c r="AI14" s="15" t="n"/>
      <c r="AJ14" s="15" t="n">
        <v>0</v>
      </c>
      <c r="AK14" s="15" t="n">
        <v>0</v>
      </c>
      <c r="AL14" s="15" t="n">
        <v>0</v>
      </c>
      <c r="AM14" s="15" t="n">
        <v>0</v>
      </c>
      <c r="AN14" s="15" t="n">
        <v>0</v>
      </c>
      <c r="AO14" s="15" t="n">
        <v>0</v>
      </c>
      <c r="AP14" s="10">
        <f>SUM(テーブル13[[#This Row],[Writing設問1スコア（内容）]:[Writing設問2スコア（文法）]])</f>
        <v/>
      </c>
      <c r="AQ14" s="88" t="n"/>
      <c r="AR14" s="39" t="n"/>
      <c r="AS14" s="15" t="n"/>
      <c r="AT14" s="15" t="n"/>
      <c r="AU14" s="22" t="n"/>
    </row>
    <row r="15">
      <c r="A15" s="39" t="n">
        <v>2025</v>
      </c>
      <c r="B15" s="15" t="inlineStr">
        <is>
          <t>第1回</t>
        </is>
      </c>
      <c r="C15" s="15" t="inlineStr">
        <is>
          <t>準2級</t>
        </is>
      </c>
      <c r="D15" s="15" t="inlineStr">
        <is>
          <t>中2</t>
        </is>
      </c>
      <c r="E15" s="15" t="inlineStr">
        <is>
          <t>舛谷 颯太</t>
        </is>
      </c>
      <c r="F15" s="15" t="inlineStr">
        <is>
          <t>無</t>
        </is>
      </c>
      <c r="G15" s="15" t="inlineStr">
        <is>
          <t>不合格</t>
        </is>
      </c>
      <c r="H15" s="15" t="inlineStr">
        <is>
          <t>－</t>
        </is>
      </c>
      <c r="I15" s="45" t="n"/>
      <c r="J15" s="52" t="inlineStr">
        <is>
          <t>GP2 -3</t>
        </is>
      </c>
      <c r="K15" s="44" t="inlineStr">
        <is>
          <t>－</t>
        </is>
      </c>
      <c r="L15" s="52" t="n">
        <v>441</v>
      </c>
      <c r="M15" s="15" t="n">
        <v>415</v>
      </c>
      <c r="N15" s="15" t="n">
        <v>390</v>
      </c>
      <c r="O15" s="44" t="n">
        <v>1246</v>
      </c>
      <c r="P15" s="52" t="inlineStr">
        <is>
          <t>－</t>
        </is>
      </c>
      <c r="Q15" s="44" t="inlineStr">
        <is>
          <t>－</t>
        </is>
      </c>
      <c r="R15" s="52" t="inlineStr">
        <is>
          <t>A2</t>
        </is>
      </c>
      <c r="S15" s="15" t="inlineStr">
        <is>
          <t>A1</t>
        </is>
      </c>
      <c r="T15" s="44" t="inlineStr">
        <is>
          <t>A1</t>
        </is>
      </c>
      <c r="U15" s="64" t="inlineStr">
        <is>
          <t>－</t>
        </is>
      </c>
      <c r="V15" s="70" t="inlineStr">
        <is>
          <t>－</t>
        </is>
      </c>
      <c r="W15" s="52" t="n">
        <v>7</v>
      </c>
      <c r="X15" s="15" t="n">
        <v>3</v>
      </c>
      <c r="Y15" s="15" t="n">
        <v>1</v>
      </c>
      <c r="Z15" s="15" t="n">
        <v>5</v>
      </c>
      <c r="AA15" s="10">
        <f>SUM(テーブル13[[#This Row],[Reading正答数（大問1）]:[Reading正答数（大問4）]])</f>
        <v/>
      </c>
      <c r="AB15" s="77">
        <f>テーブル13[[#This Row],[リーディング正答数]]/29</f>
        <v/>
      </c>
      <c r="AC15" s="52" t="n">
        <v>6</v>
      </c>
      <c r="AD15" s="15" t="n">
        <v>5</v>
      </c>
      <c r="AE15" s="15" t="n">
        <v>3</v>
      </c>
      <c r="AF15" s="10">
        <f>SUM(テーブル13[[#This Row],[Listening正答数（大問1）]:[Listening正答数（大問3）]])</f>
        <v/>
      </c>
      <c r="AG15" s="77">
        <f>テーブル13[[#This Row],[Listening正答数]]/30</f>
        <v/>
      </c>
      <c r="AH15" s="52" t="n">
        <v>1</v>
      </c>
      <c r="AI15" s="15" t="n"/>
      <c r="AJ15" s="15" t="n">
        <v>2</v>
      </c>
      <c r="AK15" s="15" t="n">
        <v>2</v>
      </c>
      <c r="AL15" s="15" t="n">
        <v>2</v>
      </c>
      <c r="AM15" s="15" t="n">
        <v>2</v>
      </c>
      <c r="AN15" s="15" t="n">
        <v>2</v>
      </c>
      <c r="AO15" s="15" t="n">
        <v>2</v>
      </c>
      <c r="AP15" s="10">
        <f>SUM(テーブル13[[#This Row],[Writing設問1スコア（内容）]:[Writing設問2スコア（文法）]])</f>
        <v/>
      </c>
      <c r="AQ15" s="88" t="n"/>
      <c r="AR15" s="39" t="n"/>
      <c r="AS15" s="15" t="n"/>
      <c r="AT15" s="15" t="n"/>
      <c r="AU15" s="22" t="n"/>
    </row>
    <row r="16" customFormat="1" s="27">
      <c r="A16" s="39" t="n">
        <v>2025</v>
      </c>
      <c r="B16" s="15" t="inlineStr">
        <is>
          <t>第1回</t>
        </is>
      </c>
      <c r="C16" s="15" t="inlineStr">
        <is>
          <t>準2級</t>
        </is>
      </c>
      <c r="D16" s="15" t="inlineStr">
        <is>
          <t>高1</t>
        </is>
      </c>
      <c r="E16" s="15" t="inlineStr">
        <is>
          <t>松尾 成将</t>
        </is>
      </c>
      <c r="F16" s="15" t="inlineStr">
        <is>
          <t>無</t>
        </is>
      </c>
      <c r="G16" s="15" t="inlineStr">
        <is>
          <t>合格</t>
        </is>
      </c>
      <c r="H16" s="15" t="inlineStr">
        <is>
          <t>不合格</t>
        </is>
      </c>
      <c r="I16" s="45" t="inlineStr">
        <is>
          <t>不合格</t>
        </is>
      </c>
      <c r="J16" s="52" t="inlineStr">
        <is>
          <t>GP2 +1</t>
        </is>
      </c>
      <c r="K16" s="44" t="inlineStr">
        <is>
          <t>GP2 -1</t>
        </is>
      </c>
      <c r="L16" s="52" t="n">
        <v>476</v>
      </c>
      <c r="M16" s="15" t="n">
        <v>408</v>
      </c>
      <c r="N16" s="15" t="n">
        <v>460</v>
      </c>
      <c r="O16" s="101" t="n">
        <v>1344</v>
      </c>
      <c r="P16" s="52" t="n">
        <v>388</v>
      </c>
      <c r="Q16" s="44" t="n">
        <v>1732</v>
      </c>
      <c r="R16" s="52" t="inlineStr">
        <is>
          <t>A2</t>
        </is>
      </c>
      <c r="S16" s="15" t="inlineStr">
        <is>
          <t>A1</t>
        </is>
      </c>
      <c r="T16" s="44" t="inlineStr">
        <is>
          <t>A2</t>
        </is>
      </c>
      <c r="U16" s="64" t="inlineStr">
        <is>
          <t>A1</t>
        </is>
      </c>
      <c r="V16" s="70" t="inlineStr">
        <is>
          <t>A2</t>
        </is>
      </c>
      <c r="W16" s="52" t="n">
        <v>10</v>
      </c>
      <c r="X16" s="15" t="n">
        <v>5</v>
      </c>
      <c r="Y16" s="15" t="n">
        <v>1</v>
      </c>
      <c r="Z16" s="15" t="n">
        <v>5</v>
      </c>
      <c r="AA16" s="25">
        <f>SUM(テーブル13[[#This Row],[Reading正答数（大問1）]:[Reading正答数（大問4）]])</f>
        <v/>
      </c>
      <c r="AB16" s="78">
        <f>テーブル13[[#This Row],[リーディング正答数]]/29</f>
        <v/>
      </c>
      <c r="AC16" s="52" t="n">
        <v>6</v>
      </c>
      <c r="AD16" s="15" t="n">
        <v>3</v>
      </c>
      <c r="AE16" s="15" t="n">
        <v>4</v>
      </c>
      <c r="AF16" s="25">
        <f>SUM(テーブル13[[#This Row],[Listening正答数（大問1）]:[Listening正答数（大問3）]])</f>
        <v/>
      </c>
      <c r="AG16" s="78">
        <f>テーブル13[[#This Row],[Listening正答数]]/30</f>
        <v/>
      </c>
      <c r="AH16" s="52" t="n">
        <v>2</v>
      </c>
      <c r="AI16" s="15" t="n"/>
      <c r="AJ16" s="15" t="n">
        <v>3</v>
      </c>
      <c r="AK16" s="15" t="n">
        <v>3</v>
      </c>
      <c r="AL16" s="15" t="n">
        <v>3</v>
      </c>
      <c r="AM16" s="15" t="n">
        <v>3</v>
      </c>
      <c r="AN16" s="15" t="n">
        <v>3</v>
      </c>
      <c r="AO16" s="15" t="n">
        <v>2</v>
      </c>
      <c r="AP16" s="25">
        <f>SUM(テーブル13[[#This Row],[Writing設問1スコア（内容）]:[Writing設問2スコア（文法）]])</f>
        <v/>
      </c>
      <c r="AQ16" s="89" t="n"/>
      <c r="AR16" s="39" t="n">
        <v>2</v>
      </c>
      <c r="AS16" s="15" t="n">
        <v>13</v>
      </c>
      <c r="AT16" s="15" t="n">
        <v>2</v>
      </c>
      <c r="AU16" s="22">
        <f>SUM(テーブル13[[#This Row],[Speaking得点（リーディング）]:[Speaking得点（アティチュード）]])</f>
        <v/>
      </c>
    </row>
    <row r="17" customFormat="1" s="27">
      <c r="A17" s="39" t="n">
        <v>2025</v>
      </c>
      <c r="B17" s="15" t="inlineStr">
        <is>
          <t>第1回</t>
        </is>
      </c>
      <c r="C17" s="15" t="inlineStr">
        <is>
          <t>準2級</t>
        </is>
      </c>
      <c r="D17" s="15" t="inlineStr">
        <is>
          <t>中3</t>
        </is>
      </c>
      <c r="E17" s="15" t="inlineStr">
        <is>
          <t>大久保 紘汰</t>
        </is>
      </c>
      <c r="F17" s="15" t="inlineStr">
        <is>
          <t>無</t>
        </is>
      </c>
      <c r="G17" s="15" t="inlineStr">
        <is>
          <t>合格</t>
        </is>
      </c>
      <c r="H17" s="15" t="inlineStr">
        <is>
          <t>合格</t>
        </is>
      </c>
      <c r="I17" s="45" t="inlineStr">
        <is>
          <t>合格</t>
        </is>
      </c>
      <c r="J17" s="52" t="inlineStr">
        <is>
          <t>GP2 +4</t>
        </is>
      </c>
      <c r="K17" s="44" t="inlineStr">
        <is>
          <t>GP2 +2</t>
        </is>
      </c>
      <c r="L17" s="52" t="n">
        <v>493</v>
      </c>
      <c r="M17" s="15" t="n">
        <v>465</v>
      </c>
      <c r="N17" s="15" t="n">
        <v>460</v>
      </c>
      <c r="O17" s="101" t="n">
        <v>1418</v>
      </c>
      <c r="P17" s="52" t="n">
        <v>449</v>
      </c>
      <c r="Q17" s="104" t="n">
        <v>1867</v>
      </c>
      <c r="R17" s="52" t="inlineStr">
        <is>
          <t>A2</t>
        </is>
      </c>
      <c r="S17" s="15" t="inlineStr">
        <is>
          <t>A2</t>
        </is>
      </c>
      <c r="T17" s="44" t="inlineStr">
        <is>
          <t>A2</t>
        </is>
      </c>
      <c r="U17" s="64" t="inlineStr">
        <is>
          <t>A2</t>
        </is>
      </c>
      <c r="V17" s="70" t="inlineStr">
        <is>
          <t>A2</t>
        </is>
      </c>
      <c r="W17" s="52" t="n">
        <v>10</v>
      </c>
      <c r="X17" s="15" t="n">
        <v>5</v>
      </c>
      <c r="Y17" s="15" t="n">
        <v>2</v>
      </c>
      <c r="Z17" s="15" t="n">
        <v>6</v>
      </c>
      <c r="AA17" s="25">
        <f>SUM(テーブル13[[#This Row],[Reading正答数（大問1）]:[Reading正答数（大問4）]])</f>
        <v/>
      </c>
      <c r="AB17" s="78">
        <f>テーブル13[[#This Row],[リーディング正答数]]/29</f>
        <v/>
      </c>
      <c r="AC17" s="52" t="n">
        <v>8</v>
      </c>
      <c r="AD17" s="15" t="n">
        <v>7</v>
      </c>
      <c r="AE17" s="15" t="n">
        <v>6</v>
      </c>
      <c r="AF17" s="25">
        <f>SUM(テーブル13[[#This Row],[Listening正答数（大問1）]:[Listening正答数（大問3）]])</f>
        <v/>
      </c>
      <c r="AG17" s="78">
        <f>テーブル13[[#This Row],[Listening正答数]]/30</f>
        <v/>
      </c>
      <c r="AH17" s="52" t="n">
        <v>3</v>
      </c>
      <c r="AI17" s="15" t="n"/>
      <c r="AJ17" s="15" t="n">
        <v>3</v>
      </c>
      <c r="AK17" s="15" t="n">
        <v>3</v>
      </c>
      <c r="AL17" s="15" t="n">
        <v>3</v>
      </c>
      <c r="AM17" s="15" t="n">
        <v>3</v>
      </c>
      <c r="AN17" s="15" t="n">
        <v>2</v>
      </c>
      <c r="AO17" s="15" t="n">
        <v>2</v>
      </c>
      <c r="AP17" s="25">
        <f>SUM(テーブル13[[#This Row],[Writing設問1スコア（内容）]:[Writing設問2スコア（文法）]])</f>
        <v/>
      </c>
      <c r="AQ17" s="89" t="n"/>
      <c r="AR17" s="39" t="n">
        <v>4</v>
      </c>
      <c r="AS17" s="15" t="n">
        <v>20</v>
      </c>
      <c r="AT17" s="15" t="n">
        <v>3</v>
      </c>
      <c r="AU17" s="26">
        <f>SUM(テーブル13[[#This Row],[Speaking得点（リーディング）]:[Speaking得点（アティチュード）]])</f>
        <v/>
      </c>
    </row>
    <row r="18">
      <c r="A18" s="39" t="n">
        <v>2025</v>
      </c>
      <c r="B18" s="15" t="inlineStr">
        <is>
          <t>第1回</t>
        </is>
      </c>
      <c r="C18" s="15" t="inlineStr">
        <is>
          <t>準2級</t>
        </is>
      </c>
      <c r="D18" s="15" t="inlineStr">
        <is>
          <t>高2</t>
        </is>
      </c>
      <c r="E18" s="15" t="inlineStr">
        <is>
          <t>野﨑 咲南</t>
        </is>
      </c>
      <c r="F18" s="15" t="inlineStr">
        <is>
          <t>有</t>
        </is>
      </c>
      <c r="G18" s="15" t="inlineStr">
        <is>
          <t>一次免除</t>
        </is>
      </c>
      <c r="H18" s="15" t="inlineStr">
        <is>
          <t>合格</t>
        </is>
      </c>
      <c r="I18" s="45" t="inlineStr">
        <is>
          <t>合格</t>
        </is>
      </c>
      <c r="J18" s="52" t="inlineStr">
        <is>
          <t>GP2 +2</t>
        </is>
      </c>
      <c r="K18" s="44" t="inlineStr">
        <is>
          <t>GP2 +1</t>
        </is>
      </c>
      <c r="L18" s="52" t="n">
        <v>434</v>
      </c>
      <c r="M18" s="15" t="n">
        <v>517</v>
      </c>
      <c r="N18" s="15" t="n">
        <v>409</v>
      </c>
      <c r="O18" s="101" t="n">
        <v>1360</v>
      </c>
      <c r="P18" s="52" t="n">
        <v>412</v>
      </c>
      <c r="Q18" s="104" t="n">
        <v>1772</v>
      </c>
      <c r="R18" s="52" t="inlineStr">
        <is>
          <t>A1</t>
        </is>
      </c>
      <c r="S18" s="15" t="inlineStr">
        <is>
          <t>A2</t>
        </is>
      </c>
      <c r="T18" s="44" t="inlineStr">
        <is>
          <t>A1</t>
        </is>
      </c>
      <c r="U18" s="64" t="inlineStr">
        <is>
          <t>A2</t>
        </is>
      </c>
      <c r="V18" s="70" t="inlineStr">
        <is>
          <t>A2</t>
        </is>
      </c>
      <c r="W18" s="52" t="n"/>
      <c r="X18" s="15" t="n"/>
      <c r="Y18" s="15" t="n"/>
      <c r="Z18" s="15" t="n"/>
      <c r="AA18" s="11" t="inlineStr">
        <is>
          <t>-</t>
        </is>
      </c>
      <c r="AB18" s="82" t="inlineStr">
        <is>
          <t>-</t>
        </is>
      </c>
      <c r="AC18" s="52" t="n"/>
      <c r="AD18" s="15" t="n"/>
      <c r="AE18" s="15" t="n"/>
      <c r="AF18" s="11" t="inlineStr">
        <is>
          <t>-</t>
        </is>
      </c>
      <c r="AG18" s="82" t="inlineStr">
        <is>
          <t>-</t>
        </is>
      </c>
      <c r="AH18" s="52" t="n"/>
      <c r="AI18" s="15" t="n"/>
      <c r="AJ18" s="15" t="n"/>
      <c r="AK18" s="15" t="n"/>
      <c r="AL18" s="15" t="n"/>
      <c r="AM18" s="15" t="n"/>
      <c r="AN18" s="15" t="n"/>
      <c r="AO18" s="15" t="n"/>
      <c r="AP18" s="10">
        <f>SUM(テーブル13[[#This Row],[Writing設問1スコア（内容）]:[Writing設問2スコア（文法）]])</f>
        <v/>
      </c>
      <c r="AQ18" s="88" t="n"/>
      <c r="AR18" s="39" t="n">
        <v>3</v>
      </c>
      <c r="AS18" s="15" t="n">
        <v>17</v>
      </c>
      <c r="AT18" s="15" t="n">
        <v>3</v>
      </c>
      <c r="AU18" s="26">
        <f>SUM(テーブル13[[#This Row],[Speaking得点（リーディング）]:[Speaking得点（アティチュード）]])</f>
        <v/>
      </c>
    </row>
    <row r="19">
      <c r="A19" s="39" t="n">
        <v>2025</v>
      </c>
      <c r="B19" s="15" t="inlineStr">
        <is>
          <t>第2回</t>
        </is>
      </c>
      <c r="C19" s="15" t="inlineStr">
        <is>
          <t>準2級</t>
        </is>
      </c>
      <c r="D19" s="15" t="inlineStr">
        <is>
          <t>高1</t>
        </is>
      </c>
      <c r="E19" s="15" t="inlineStr">
        <is>
          <t>松田 未来</t>
        </is>
      </c>
      <c r="F19" s="15" t="inlineStr">
        <is>
          <t>無</t>
        </is>
      </c>
      <c r="G19" s="15" t="inlineStr">
        <is>
          <t>不合格</t>
        </is>
      </c>
      <c r="H19" s="15" t="inlineStr">
        <is>
          <t>－</t>
        </is>
      </c>
      <c r="I19" s="45" t="n"/>
      <c r="J19" s="52" t="inlineStr">
        <is>
          <t>GP2 -5</t>
        </is>
      </c>
      <c r="K19" s="44" t="inlineStr">
        <is>
          <t>－</t>
        </is>
      </c>
      <c r="L19" s="52" t="n">
        <v>440</v>
      </c>
      <c r="M19" s="15" t="n">
        <v>414</v>
      </c>
      <c r="N19" s="15" t="n">
        <v>361</v>
      </c>
      <c r="O19" s="44" t="n">
        <v>1215</v>
      </c>
      <c r="P19" s="52" t="inlineStr">
        <is>
          <t>－</t>
        </is>
      </c>
      <c r="Q19" s="44" t="inlineStr">
        <is>
          <t>－</t>
        </is>
      </c>
      <c r="R19" s="52" t="inlineStr">
        <is>
          <t>A2</t>
        </is>
      </c>
      <c r="S19" s="15" t="inlineStr">
        <is>
          <t>A1</t>
        </is>
      </c>
      <c r="T19" s="44" t="inlineStr">
        <is>
          <t>A1</t>
        </is>
      </c>
      <c r="U19" s="64" t="inlineStr">
        <is>
          <t>－</t>
        </is>
      </c>
      <c r="V19" s="70" t="inlineStr">
        <is>
          <t>－</t>
        </is>
      </c>
      <c r="W19" s="52" t="n">
        <v>6</v>
      </c>
      <c r="X19" s="15" t="n">
        <v>3</v>
      </c>
      <c r="Y19" s="15" t="n">
        <v>0</v>
      </c>
      <c r="Z19" s="15" t="n">
        <v>5</v>
      </c>
      <c r="AA19" s="10">
        <f>SUM(テーブル13[[#This Row],[Reading正答数（大問1）]:[Reading正答数（大問4）]])</f>
        <v/>
      </c>
      <c r="AB19" s="77">
        <f>テーブル13[[#This Row],[リーディング正答数]]/29</f>
        <v/>
      </c>
      <c r="AC19" s="52" t="n">
        <v>6</v>
      </c>
      <c r="AD19" s="15" t="n">
        <v>6</v>
      </c>
      <c r="AE19" s="15" t="n">
        <v>4</v>
      </c>
      <c r="AF19" s="10">
        <f>SUM(テーブル13[[#This Row],[Listening正答数（大問1）]:[Listening正答数（大問3）]])</f>
        <v/>
      </c>
      <c r="AG19" s="77">
        <f>テーブル13[[#This Row],[Listening正答数]]/30</f>
        <v/>
      </c>
      <c r="AH19" s="52" t="n">
        <v>2</v>
      </c>
      <c r="AI19" s="15" t="n"/>
      <c r="AJ19" s="15" t="n">
        <v>2</v>
      </c>
      <c r="AK19" s="15" t="n">
        <v>2</v>
      </c>
      <c r="AL19" s="15" t="n">
        <v>2</v>
      </c>
      <c r="AM19" s="15" t="n">
        <v>2</v>
      </c>
      <c r="AN19" s="15" t="n">
        <v>2</v>
      </c>
      <c r="AO19" s="15" t="n">
        <v>2</v>
      </c>
      <c r="AP19" s="10">
        <f>SUM(テーブル13[[#This Row],[Writing設問1スコア（内容）]:[Writing設問2スコア（文法）]])</f>
        <v/>
      </c>
      <c r="AQ19" s="88" t="n"/>
      <c r="AR19" s="39" t="n"/>
      <c r="AS19" s="15" t="n"/>
      <c r="AT19" s="15" t="n"/>
      <c r="AU19" s="22" t="n"/>
    </row>
    <row r="20">
      <c r="A20" s="39" t="n">
        <v>2025</v>
      </c>
      <c r="B20" s="15" t="inlineStr">
        <is>
          <t>第2回</t>
        </is>
      </c>
      <c r="C20" s="15" t="inlineStr">
        <is>
          <t>準2級</t>
        </is>
      </c>
      <c r="D20" s="15" t="inlineStr">
        <is>
          <t>小6</t>
        </is>
      </c>
      <c r="E20" s="15" t="inlineStr">
        <is>
          <t>橋本 京</t>
        </is>
      </c>
      <c r="F20" s="15" t="inlineStr">
        <is>
          <t>無</t>
        </is>
      </c>
      <c r="G20" s="15" t="inlineStr">
        <is>
          <t>不合格</t>
        </is>
      </c>
      <c r="H20" s="15" t="inlineStr">
        <is>
          <t>－</t>
        </is>
      </c>
      <c r="I20" s="45" t="n"/>
      <c r="J20" s="52" t="inlineStr">
        <is>
          <t>GP2 -1</t>
        </is>
      </c>
      <c r="K20" s="44" t="inlineStr">
        <is>
          <t>－</t>
        </is>
      </c>
      <c r="L20" s="52" t="n">
        <v>427</v>
      </c>
      <c r="M20" s="15" t="n">
        <v>491</v>
      </c>
      <c r="N20" s="15" t="n">
        <v>385</v>
      </c>
      <c r="O20" s="44" t="n">
        <v>1303</v>
      </c>
      <c r="P20" s="52" t="inlineStr">
        <is>
          <t>－</t>
        </is>
      </c>
      <c r="Q20" s="44" t="inlineStr">
        <is>
          <t>－</t>
        </is>
      </c>
      <c r="R20" s="52" t="inlineStr">
        <is>
          <t>A1</t>
        </is>
      </c>
      <c r="S20" s="15" t="inlineStr">
        <is>
          <t>A2</t>
        </is>
      </c>
      <c r="T20" s="44" t="inlineStr">
        <is>
          <t>A1</t>
        </is>
      </c>
      <c r="U20" s="64" t="inlineStr">
        <is>
          <t>－</t>
        </is>
      </c>
      <c r="V20" s="70" t="inlineStr">
        <is>
          <t>－</t>
        </is>
      </c>
      <c r="W20" s="52" t="n">
        <v>8</v>
      </c>
      <c r="X20" s="15" t="n">
        <v>2</v>
      </c>
      <c r="Y20" s="15" t="n">
        <v>1</v>
      </c>
      <c r="Z20" s="15" t="n">
        <v>1</v>
      </c>
      <c r="AA20" s="10">
        <f>SUM(テーブル13[[#This Row],[Reading正答数（大問1）]:[Reading正答数（大問4）]])</f>
        <v/>
      </c>
      <c r="AB20" s="77">
        <f>テーブル13[[#This Row],[リーディング正答数]]/29</f>
        <v/>
      </c>
      <c r="AC20" s="52" t="n">
        <v>8</v>
      </c>
      <c r="AD20" s="15" t="n">
        <v>9</v>
      </c>
      <c r="AE20" s="15" t="n">
        <v>8</v>
      </c>
      <c r="AF20" s="10">
        <f>SUM(テーブル13[[#This Row],[Listening正答数（大問1）]:[Listening正答数（大問3）]])</f>
        <v/>
      </c>
      <c r="AG20" s="77">
        <f>テーブル13[[#This Row],[Listening正答数]]/30</f>
        <v/>
      </c>
      <c r="AH20" s="52" t="n">
        <v>1</v>
      </c>
      <c r="AI20" s="15" t="n"/>
      <c r="AJ20" s="15" t="n">
        <v>2</v>
      </c>
      <c r="AK20" s="15" t="n">
        <v>2</v>
      </c>
      <c r="AL20" s="15" t="n">
        <v>2</v>
      </c>
      <c r="AM20" s="15" t="n">
        <v>3</v>
      </c>
      <c r="AN20" s="15" t="n">
        <v>3</v>
      </c>
      <c r="AO20" s="15" t="n">
        <v>3</v>
      </c>
      <c r="AP20" s="10">
        <f>SUM(テーブル13[[#This Row],[Writing設問1スコア（内容）]:[Writing設問2スコア（文法）]])</f>
        <v/>
      </c>
      <c r="AQ20" s="88" t="n"/>
      <c r="AR20" s="39" t="n"/>
      <c r="AS20" s="15" t="n"/>
      <c r="AT20" s="15" t="n"/>
      <c r="AU20" s="22" t="n"/>
    </row>
    <row r="21">
      <c r="A21" s="39" t="n">
        <v>2025</v>
      </c>
      <c r="B21" s="15" t="inlineStr">
        <is>
          <t>第2回</t>
        </is>
      </c>
      <c r="C21" s="15" t="inlineStr">
        <is>
          <t>準2級</t>
        </is>
      </c>
      <c r="D21" s="15" t="inlineStr">
        <is>
          <t>高2</t>
        </is>
      </c>
      <c r="E21" s="15" t="inlineStr">
        <is>
          <t>秋山 蒼太郎</t>
        </is>
      </c>
      <c r="F21" s="15" t="inlineStr">
        <is>
          <t>無</t>
        </is>
      </c>
      <c r="G21" s="15" t="inlineStr">
        <is>
          <t>不合格</t>
        </is>
      </c>
      <c r="H21" s="15" t="inlineStr">
        <is>
          <t>－</t>
        </is>
      </c>
      <c r="I21" s="45" t="n"/>
      <c r="J21" s="52" t="inlineStr">
        <is>
          <t>GP2 -4</t>
        </is>
      </c>
      <c r="K21" s="44" t="inlineStr">
        <is>
          <t>－</t>
        </is>
      </c>
      <c r="L21" s="52" t="n">
        <v>419</v>
      </c>
      <c r="M21" s="15" t="n">
        <v>391</v>
      </c>
      <c r="N21" s="15" t="n">
        <v>425</v>
      </c>
      <c r="O21" s="44" t="n">
        <v>1235</v>
      </c>
      <c r="P21" s="52" t="inlineStr">
        <is>
          <t>－</t>
        </is>
      </c>
      <c r="Q21" s="44" t="inlineStr">
        <is>
          <t>－</t>
        </is>
      </c>
      <c r="R21" s="52" t="inlineStr">
        <is>
          <t>A1</t>
        </is>
      </c>
      <c r="S21" s="15" t="inlineStr">
        <is>
          <t>A1</t>
        </is>
      </c>
      <c r="T21" s="44" t="inlineStr">
        <is>
          <t>A2</t>
        </is>
      </c>
      <c r="U21" s="64" t="inlineStr">
        <is>
          <t>－</t>
        </is>
      </c>
      <c r="V21" s="70" t="inlineStr">
        <is>
          <t>－</t>
        </is>
      </c>
      <c r="W21" s="52" t="n">
        <v>6</v>
      </c>
      <c r="X21" s="15" t="n">
        <v>2</v>
      </c>
      <c r="Y21" s="15" t="n">
        <v>1</v>
      </c>
      <c r="Z21" s="15" t="n">
        <v>2</v>
      </c>
      <c r="AA21" s="10">
        <f>SUM(テーブル13[[#This Row],[Reading正答数（大問1）]:[Reading正答数（大問4）]])</f>
        <v/>
      </c>
      <c r="AB21" s="77">
        <f>テーブル13[[#This Row],[リーディング正答数]]/29</f>
        <v/>
      </c>
      <c r="AC21" s="52" t="n">
        <v>2</v>
      </c>
      <c r="AD21" s="15" t="n">
        <v>7</v>
      </c>
      <c r="AE21" s="15" t="n">
        <v>4</v>
      </c>
      <c r="AF21" s="10">
        <f>SUM(テーブル13[[#This Row],[Listening正答数（大問1）]:[Listening正答数（大問3）]])</f>
        <v/>
      </c>
      <c r="AG21" s="77">
        <f>テーブル13[[#This Row],[Listening正答数]]/30</f>
        <v/>
      </c>
      <c r="AH21" s="52" t="n">
        <v>3</v>
      </c>
      <c r="AI21" s="15" t="n"/>
      <c r="AJ21" s="15" t="n">
        <v>3</v>
      </c>
      <c r="AK21" s="15" t="n">
        <v>2</v>
      </c>
      <c r="AL21" s="15" t="n">
        <v>3</v>
      </c>
      <c r="AM21" s="15" t="n">
        <v>3</v>
      </c>
      <c r="AN21" s="15" t="n">
        <v>3</v>
      </c>
      <c r="AO21" s="15" t="n">
        <v>2</v>
      </c>
      <c r="AP21" s="10">
        <f>SUM(テーブル13[[#This Row],[Writing設問1スコア（内容）]:[Writing設問2スコア（文法）]])</f>
        <v/>
      </c>
      <c r="AQ21" s="88" t="n"/>
      <c r="AR21" s="39" t="n"/>
      <c r="AS21" s="15" t="n"/>
      <c r="AT21" s="15" t="n"/>
      <c r="AU21" s="22" t="n"/>
    </row>
    <row r="22">
      <c r="A22" s="39" t="n">
        <v>2025</v>
      </c>
      <c r="B22" s="15" t="inlineStr">
        <is>
          <t>第2回</t>
        </is>
      </c>
      <c r="C22" s="15" t="inlineStr">
        <is>
          <t>準2級</t>
        </is>
      </c>
      <c r="D22" s="15" t="inlineStr">
        <is>
          <t>中2</t>
        </is>
      </c>
      <c r="E22" s="15" t="inlineStr">
        <is>
          <t>舛谷 颯太</t>
        </is>
      </c>
      <c r="F22" s="15" t="inlineStr">
        <is>
          <t>無</t>
        </is>
      </c>
      <c r="G22" s="15" t="inlineStr">
        <is>
          <t>不合格</t>
        </is>
      </c>
      <c r="H22" s="15" t="inlineStr">
        <is>
          <t>－</t>
        </is>
      </c>
      <c r="I22" s="45" t="n"/>
      <c r="J22" s="52" t="inlineStr">
        <is>
          <t>GP2 -1</t>
        </is>
      </c>
      <c r="K22" s="44" t="inlineStr">
        <is>
          <t>－</t>
        </is>
      </c>
      <c r="L22" s="52" t="n">
        <v>434</v>
      </c>
      <c r="M22" s="15" t="n">
        <v>429</v>
      </c>
      <c r="N22" s="15" t="n">
        <v>439</v>
      </c>
      <c r="O22" s="44" t="n">
        <v>1302</v>
      </c>
      <c r="P22" s="52" t="inlineStr">
        <is>
          <t>－</t>
        </is>
      </c>
      <c r="Q22" s="44" t="inlineStr">
        <is>
          <t>－</t>
        </is>
      </c>
      <c r="R22" s="52" t="inlineStr">
        <is>
          <t>A1</t>
        </is>
      </c>
      <c r="S22" s="15" t="inlineStr">
        <is>
          <t>A1</t>
        </is>
      </c>
      <c r="T22" s="44" t="inlineStr">
        <is>
          <t>A2</t>
        </is>
      </c>
      <c r="U22" s="64" t="inlineStr">
        <is>
          <t>－</t>
        </is>
      </c>
      <c r="V22" s="70" t="inlineStr">
        <is>
          <t>－</t>
        </is>
      </c>
      <c r="W22" s="52" t="n">
        <v>6</v>
      </c>
      <c r="X22" s="15" t="n">
        <v>4</v>
      </c>
      <c r="Y22" s="15" t="n">
        <v>0</v>
      </c>
      <c r="Z22" s="15" t="n">
        <v>3</v>
      </c>
      <c r="AA22" s="10">
        <f>SUM(テーブル13[[#This Row],[Reading正答数（大問1）]:[Reading正答数（大問4）]])</f>
        <v/>
      </c>
      <c r="AB22" s="77">
        <f>テーブル13[[#This Row],[リーディング正答数]]/29</f>
        <v/>
      </c>
      <c r="AC22" s="52" t="n">
        <v>7</v>
      </c>
      <c r="AD22" s="15" t="n">
        <v>6</v>
      </c>
      <c r="AE22" s="15" t="n">
        <v>5</v>
      </c>
      <c r="AF22" s="10">
        <f>SUM(テーブル13[[#This Row],[Listening正答数（大問1）]:[Listening正答数（大問3）]])</f>
        <v/>
      </c>
      <c r="AG22" s="77">
        <f>テーブル13[[#This Row],[Listening正答数]]/30</f>
        <v/>
      </c>
      <c r="AH22" s="52" t="n">
        <v>3</v>
      </c>
      <c r="AI22" s="15" t="n"/>
      <c r="AJ22" s="15" t="n">
        <v>3</v>
      </c>
      <c r="AK22" s="15" t="n">
        <v>3</v>
      </c>
      <c r="AL22" s="15" t="n">
        <v>3</v>
      </c>
      <c r="AM22" s="15" t="n">
        <v>3</v>
      </c>
      <c r="AN22" s="15" t="n">
        <v>3</v>
      </c>
      <c r="AO22" s="15" t="n">
        <v>2</v>
      </c>
      <c r="AP22" s="10">
        <f>SUM(テーブル13[[#This Row],[Writing設問1スコア（内容）]:[Writing設問2スコア（文法）]])</f>
        <v/>
      </c>
      <c r="AQ22" s="88" t="n"/>
      <c r="AR22" s="39" t="n"/>
      <c r="AS22" s="15" t="n"/>
      <c r="AT22" s="15" t="n"/>
      <c r="AU22" s="22" t="n"/>
    </row>
    <row r="23" customFormat="1" s="27">
      <c r="A23" s="39" t="n">
        <v>2025</v>
      </c>
      <c r="B23" s="15" t="inlineStr">
        <is>
          <t>第2回</t>
        </is>
      </c>
      <c r="C23" s="15" t="inlineStr">
        <is>
          <t>準2級</t>
        </is>
      </c>
      <c r="D23" s="15" t="inlineStr">
        <is>
          <t>中3</t>
        </is>
      </c>
      <c r="E23" s="15" t="inlineStr">
        <is>
          <t>眞鍋 湊</t>
        </is>
      </c>
      <c r="F23" s="15" t="inlineStr">
        <is>
          <t>無</t>
        </is>
      </c>
      <c r="G23" s="15" t="inlineStr">
        <is>
          <t>合格</t>
        </is>
      </c>
      <c r="H23" s="15" t="inlineStr">
        <is>
          <t>不合格</t>
        </is>
      </c>
      <c r="I23" s="45" t="inlineStr">
        <is>
          <t>不合格</t>
        </is>
      </c>
      <c r="J23" s="52" t="inlineStr">
        <is>
          <t>GP2 +2</t>
        </is>
      </c>
      <c r="K23" s="44" t="inlineStr">
        <is>
          <t>GP2 -1</t>
        </is>
      </c>
      <c r="L23" s="52" t="n">
        <v>468</v>
      </c>
      <c r="M23" s="15" t="n">
        <v>452</v>
      </c>
      <c r="N23" s="15" t="n">
        <v>453</v>
      </c>
      <c r="O23" s="101" t="n">
        <v>1373</v>
      </c>
      <c r="P23" s="52" t="n">
        <v>403</v>
      </c>
      <c r="Q23" s="44" t="n">
        <v>1776</v>
      </c>
      <c r="R23" s="52" t="inlineStr">
        <is>
          <t>A2</t>
        </is>
      </c>
      <c r="S23" s="15" t="inlineStr">
        <is>
          <t>A2</t>
        </is>
      </c>
      <c r="T23" s="44" t="inlineStr">
        <is>
          <t>A2</t>
        </is>
      </c>
      <c r="U23" s="64" t="inlineStr">
        <is>
          <t>A1</t>
        </is>
      </c>
      <c r="V23" s="70" t="inlineStr">
        <is>
          <t>A2</t>
        </is>
      </c>
      <c r="W23" s="52" t="n">
        <v>10</v>
      </c>
      <c r="X23" s="15" t="n">
        <v>3</v>
      </c>
      <c r="Y23" s="15" t="n">
        <v>1</v>
      </c>
      <c r="Z23" s="15" t="n">
        <v>4</v>
      </c>
      <c r="AA23" s="25">
        <f>SUM(テーブル13[[#This Row],[Reading正答数（大問1）]:[Reading正答数（大問4）]])</f>
        <v/>
      </c>
      <c r="AB23" s="78">
        <f>テーブル13[[#This Row],[リーディング正答数]]/29</f>
        <v/>
      </c>
      <c r="AC23" s="52" t="n">
        <v>7</v>
      </c>
      <c r="AD23" s="15" t="n">
        <v>7</v>
      </c>
      <c r="AE23" s="15" t="n">
        <v>7</v>
      </c>
      <c r="AF23" s="25">
        <f>SUM(テーブル13[[#This Row],[Listening正答数（大問1）]:[Listening正答数（大問3）]])</f>
        <v/>
      </c>
      <c r="AG23" s="78">
        <f>テーブル13[[#This Row],[Listening正答数]]/30</f>
        <v/>
      </c>
      <c r="AH23" s="52" t="n">
        <v>2</v>
      </c>
      <c r="AI23" s="15" t="n"/>
      <c r="AJ23" s="15" t="n">
        <v>3</v>
      </c>
      <c r="AK23" s="15" t="n">
        <v>2</v>
      </c>
      <c r="AL23" s="15" t="n">
        <v>3</v>
      </c>
      <c r="AM23" s="15" t="n">
        <v>3</v>
      </c>
      <c r="AN23" s="15" t="n">
        <v>4</v>
      </c>
      <c r="AO23" s="15" t="n">
        <v>4</v>
      </c>
      <c r="AP23" s="25">
        <f>SUM(テーブル13[[#This Row],[Writing設問1スコア（内容）]:[Writing設問2スコア（文法）]])</f>
        <v/>
      </c>
      <c r="AQ23" s="89" t="n"/>
      <c r="AR23" s="39" t="n">
        <v>4</v>
      </c>
      <c r="AS23" s="15" t="n">
        <v>16</v>
      </c>
      <c r="AT23" s="15" t="n">
        <v>1</v>
      </c>
      <c r="AU23" s="22">
        <f>SUM(テーブル13[[#This Row],[Speaking得点（リーディング）]:[Speaking得点（アティチュード）]])</f>
        <v/>
      </c>
    </row>
    <row r="24" customFormat="1" s="27">
      <c r="A24" s="39" t="n">
        <v>2025</v>
      </c>
      <c r="B24" s="15" t="inlineStr">
        <is>
          <t>第2回</t>
        </is>
      </c>
      <c r="C24" s="15" t="inlineStr">
        <is>
          <t>準2級</t>
        </is>
      </c>
      <c r="D24" s="15" t="inlineStr">
        <is>
          <t>高1</t>
        </is>
      </c>
      <c r="E24" s="15" t="inlineStr">
        <is>
          <t>福田 将万</t>
        </is>
      </c>
      <c r="F24" s="15" t="inlineStr">
        <is>
          <t>無</t>
        </is>
      </c>
      <c r="G24" s="15" t="inlineStr">
        <is>
          <t>合格</t>
        </is>
      </c>
      <c r="H24" s="15" t="inlineStr">
        <is>
          <t>合格</t>
        </is>
      </c>
      <c r="I24" s="45" t="inlineStr">
        <is>
          <t>合格</t>
        </is>
      </c>
      <c r="J24" s="52" t="inlineStr">
        <is>
          <t>GP2 +3</t>
        </is>
      </c>
      <c r="K24" s="44" t="inlineStr">
        <is>
          <t>GP2 +2</t>
        </is>
      </c>
      <c r="L24" s="52" t="n">
        <v>490</v>
      </c>
      <c r="M24" s="15" t="n">
        <v>436</v>
      </c>
      <c r="N24" s="15" t="n">
        <v>453</v>
      </c>
      <c r="O24" s="101" t="n">
        <v>1379</v>
      </c>
      <c r="P24" s="52" t="n">
        <v>437</v>
      </c>
      <c r="Q24" s="104" t="n">
        <v>1816</v>
      </c>
      <c r="R24" s="52" t="inlineStr">
        <is>
          <t>A2</t>
        </is>
      </c>
      <c r="S24" s="15" t="inlineStr">
        <is>
          <t>A1</t>
        </is>
      </c>
      <c r="T24" s="44" t="inlineStr">
        <is>
          <t>A2</t>
        </is>
      </c>
      <c r="U24" s="64" t="inlineStr">
        <is>
          <t>A2</t>
        </is>
      </c>
      <c r="V24" s="70" t="inlineStr">
        <is>
          <t>A2</t>
        </is>
      </c>
      <c r="W24" s="52" t="n">
        <v>11</v>
      </c>
      <c r="X24" s="15" t="n">
        <v>4</v>
      </c>
      <c r="Y24" s="15" t="n">
        <v>1</v>
      </c>
      <c r="Z24" s="15" t="n">
        <v>5</v>
      </c>
      <c r="AA24" s="25">
        <f>SUM(テーブル13[[#This Row],[Reading正答数（大問1）]:[Reading正答数（大問4）]])</f>
        <v/>
      </c>
      <c r="AB24" s="78">
        <f>テーブル13[[#This Row],[リーディング正答数]]/29</f>
        <v/>
      </c>
      <c r="AC24" s="52" t="n">
        <v>5</v>
      </c>
      <c r="AD24" s="15" t="n">
        <v>8</v>
      </c>
      <c r="AE24" s="15" t="n">
        <v>6</v>
      </c>
      <c r="AF24" s="25">
        <f>SUM(テーブル13[[#This Row],[Listening正答数（大問1）]:[Listening正答数（大問3）]])</f>
        <v/>
      </c>
      <c r="AG24" s="78">
        <f>テーブル13[[#This Row],[Listening正答数]]/30</f>
        <v/>
      </c>
      <c r="AH24" s="52" t="n">
        <v>3</v>
      </c>
      <c r="AI24" s="15" t="n"/>
      <c r="AJ24" s="15" t="n">
        <v>4</v>
      </c>
      <c r="AK24" s="15" t="n">
        <v>4</v>
      </c>
      <c r="AL24" s="15" t="n">
        <v>3</v>
      </c>
      <c r="AM24" s="15" t="n">
        <v>3</v>
      </c>
      <c r="AN24" s="15" t="n">
        <v>2</v>
      </c>
      <c r="AO24" s="15" t="n">
        <v>2</v>
      </c>
      <c r="AP24" s="25">
        <f>SUM(テーブル13[[#This Row],[Writing設問1スコア（内容）]:[Writing設問2スコア（文法）]])</f>
        <v/>
      </c>
      <c r="AQ24" s="89" t="n"/>
      <c r="AR24" s="39" t="n">
        <v>4</v>
      </c>
      <c r="AS24" s="15" t="n">
        <v>20</v>
      </c>
      <c r="AT24" s="15" t="n">
        <v>2</v>
      </c>
      <c r="AU24" s="26">
        <f>SUM(テーブル13[[#This Row],[Speaking得点（リーディング）]:[Speaking得点（アティチュード）]])</f>
        <v/>
      </c>
    </row>
    <row r="25" customFormat="1" s="27">
      <c r="A25" s="39" t="n">
        <v>2025</v>
      </c>
      <c r="B25" s="15" t="inlineStr">
        <is>
          <t>第2回</t>
        </is>
      </c>
      <c r="C25" s="15" t="inlineStr">
        <is>
          <t>準2級</t>
        </is>
      </c>
      <c r="D25" s="15" t="inlineStr">
        <is>
          <t>高1</t>
        </is>
      </c>
      <c r="E25" s="15" t="inlineStr">
        <is>
          <t>小林 美菜</t>
        </is>
      </c>
      <c r="F25" s="15" t="inlineStr">
        <is>
          <t>無</t>
        </is>
      </c>
      <c r="G25" s="15" t="inlineStr">
        <is>
          <t>合格</t>
        </is>
      </c>
      <c r="H25" s="15" t="inlineStr">
        <is>
          <t>不合格</t>
        </is>
      </c>
      <c r="I25" s="45" t="inlineStr">
        <is>
          <t>不合格</t>
        </is>
      </c>
      <c r="J25" s="52" t="inlineStr">
        <is>
          <t>GP2 +5</t>
        </is>
      </c>
      <c r="K25" s="44" t="inlineStr">
        <is>
          <t>GP2 -1</t>
        </is>
      </c>
      <c r="L25" s="52" t="n">
        <v>498</v>
      </c>
      <c r="M25" s="15" t="n">
        <v>436</v>
      </c>
      <c r="N25" s="15" t="n">
        <v>501</v>
      </c>
      <c r="O25" s="101" t="n">
        <v>1435</v>
      </c>
      <c r="P25" s="52" t="n">
        <v>403</v>
      </c>
      <c r="Q25" s="44" t="n">
        <v>1838</v>
      </c>
      <c r="R25" s="52" t="inlineStr">
        <is>
          <t>A2</t>
        </is>
      </c>
      <c r="S25" s="15" t="inlineStr">
        <is>
          <t>A1</t>
        </is>
      </c>
      <c r="T25" s="44" t="inlineStr">
        <is>
          <t>A2</t>
        </is>
      </c>
      <c r="U25" s="64" t="inlineStr">
        <is>
          <t>A1</t>
        </is>
      </c>
      <c r="V25" s="70" t="inlineStr">
        <is>
          <t>A2</t>
        </is>
      </c>
      <c r="W25" s="52" t="n">
        <v>10</v>
      </c>
      <c r="X25" s="15" t="n">
        <v>4</v>
      </c>
      <c r="Y25" s="15" t="n">
        <v>1</v>
      </c>
      <c r="Z25" s="15" t="n">
        <v>7</v>
      </c>
      <c r="AA25" s="25">
        <f>SUM(テーブル13[[#This Row],[Reading正答数（大問1）]:[Reading正答数（大問4）]])</f>
        <v/>
      </c>
      <c r="AB25" s="78">
        <f>テーブル13[[#This Row],[リーディング正答数]]/29</f>
        <v/>
      </c>
      <c r="AC25" s="52" t="n">
        <v>5</v>
      </c>
      <c r="AD25" s="15" t="n">
        <v>8</v>
      </c>
      <c r="AE25" s="15" t="n">
        <v>6</v>
      </c>
      <c r="AF25" s="25">
        <f>SUM(テーブル13[[#This Row],[Listening正答数（大問1）]:[Listening正答数（大問3）]])</f>
        <v/>
      </c>
      <c r="AG25" s="78">
        <f>テーブル13[[#This Row],[Listening正答数]]/30</f>
        <v/>
      </c>
      <c r="AH25" s="52" t="n">
        <v>3</v>
      </c>
      <c r="AI25" s="15" t="n"/>
      <c r="AJ25" s="15" t="n">
        <v>4</v>
      </c>
      <c r="AK25" s="15" t="n">
        <v>3</v>
      </c>
      <c r="AL25" s="15" t="n">
        <v>4</v>
      </c>
      <c r="AM25" s="15" t="n">
        <v>4</v>
      </c>
      <c r="AN25" s="15" t="n">
        <v>3</v>
      </c>
      <c r="AO25" s="15" t="n">
        <v>3</v>
      </c>
      <c r="AP25" s="25">
        <f>SUM(テーブル13[[#This Row],[Writing設問1スコア（内容）]:[Writing設問2スコア（文法）]])</f>
        <v/>
      </c>
      <c r="AQ25" s="89" t="n"/>
      <c r="AR25" s="39" t="n">
        <v>3</v>
      </c>
      <c r="AS25" s="15" t="n">
        <v>16</v>
      </c>
      <c r="AT25" s="15" t="n">
        <v>2</v>
      </c>
      <c r="AU25" s="22">
        <f>SUM(テーブル13[[#This Row],[Speaking得点（リーディング）]:[Speaking得点（アティチュード）]])</f>
        <v/>
      </c>
    </row>
    <row r="26" customFormat="1" s="27">
      <c r="A26" s="39" t="n">
        <v>2025</v>
      </c>
      <c r="B26" s="15" t="inlineStr">
        <is>
          <t>第2回</t>
        </is>
      </c>
      <c r="C26" s="15" t="inlineStr">
        <is>
          <t>準2級</t>
        </is>
      </c>
      <c r="D26" s="15" t="inlineStr">
        <is>
          <t>高2</t>
        </is>
      </c>
      <c r="E26" s="15" t="inlineStr">
        <is>
          <t>福田 奏元</t>
        </is>
      </c>
      <c r="F26" s="15" t="inlineStr">
        <is>
          <t>無</t>
        </is>
      </c>
      <c r="G26" s="15" t="inlineStr">
        <is>
          <t>合格</t>
        </is>
      </c>
      <c r="H26" s="15" t="inlineStr">
        <is>
          <t>合格</t>
        </is>
      </c>
      <c r="I26" s="45" t="inlineStr">
        <is>
          <t>合格</t>
        </is>
      </c>
      <c r="J26" s="52" t="inlineStr">
        <is>
          <t>GP2 +3</t>
        </is>
      </c>
      <c r="K26" s="44" t="inlineStr">
        <is>
          <t>GP2 +2</t>
        </is>
      </c>
      <c r="L26" s="52" t="n">
        <v>482</v>
      </c>
      <c r="M26" s="15" t="n">
        <v>414</v>
      </c>
      <c r="N26" s="15" t="n">
        <v>484</v>
      </c>
      <c r="O26" s="101" t="n">
        <v>1380</v>
      </c>
      <c r="P26" s="52" t="n">
        <v>445</v>
      </c>
      <c r="Q26" s="104" t="n">
        <v>1825</v>
      </c>
      <c r="R26" s="52" t="inlineStr">
        <is>
          <t>A2</t>
        </is>
      </c>
      <c r="S26" s="15" t="inlineStr">
        <is>
          <t>A1</t>
        </is>
      </c>
      <c r="T26" s="44" t="inlineStr">
        <is>
          <t>A2</t>
        </is>
      </c>
      <c r="U26" s="64" t="inlineStr">
        <is>
          <t>A2</t>
        </is>
      </c>
      <c r="V26" s="70" t="inlineStr">
        <is>
          <t>A2</t>
        </is>
      </c>
      <c r="W26" s="52" t="n">
        <v>12</v>
      </c>
      <c r="X26" s="15" t="n">
        <v>3</v>
      </c>
      <c r="Y26" s="15" t="n">
        <v>1</v>
      </c>
      <c r="Z26" s="15" t="n">
        <v>4</v>
      </c>
      <c r="AA26" s="25">
        <f>SUM(テーブル13[[#This Row],[Reading正答数（大問1）]:[Reading正答数（大問4）]])</f>
        <v/>
      </c>
      <c r="AB26" s="78">
        <f>テーブル13[[#This Row],[リーディング正答数]]/29</f>
        <v/>
      </c>
      <c r="AC26" s="52" t="n">
        <v>5</v>
      </c>
      <c r="AD26" s="15" t="n">
        <v>6</v>
      </c>
      <c r="AE26" s="15" t="n">
        <v>5</v>
      </c>
      <c r="AF26" s="25">
        <f>SUM(テーブル13[[#This Row],[Listening正答数（大問1）]:[Listening正答数（大問3）]])</f>
        <v/>
      </c>
      <c r="AG26" s="78">
        <f>テーブル13[[#This Row],[Listening正答数]]/30</f>
        <v/>
      </c>
      <c r="AH26" s="52" t="n">
        <v>3</v>
      </c>
      <c r="AI26" s="15" t="n"/>
      <c r="AJ26" s="15" t="n">
        <v>3</v>
      </c>
      <c r="AK26" s="15" t="n">
        <v>3</v>
      </c>
      <c r="AL26" s="15" t="n">
        <v>4</v>
      </c>
      <c r="AM26" s="15" t="n">
        <v>4</v>
      </c>
      <c r="AN26" s="15" t="n">
        <v>3</v>
      </c>
      <c r="AO26" s="15" t="n">
        <v>3</v>
      </c>
      <c r="AP26" s="25">
        <f>SUM(テーブル13[[#This Row],[Writing設問1スコア（内容）]:[Writing設問2スコア（文法）]])</f>
        <v/>
      </c>
      <c r="AQ26" s="89" t="n"/>
      <c r="AR26" s="39" t="n">
        <v>5</v>
      </c>
      <c r="AS26" s="15" t="n">
        <v>19</v>
      </c>
      <c r="AT26" s="15" t="n">
        <v>3</v>
      </c>
      <c r="AU26" s="26">
        <f>SUM(テーブル13[[#This Row],[Speaking得点（リーディング）]:[Speaking得点（アティチュード）]])</f>
        <v/>
      </c>
    </row>
    <row r="27">
      <c r="A27" s="39" t="n">
        <v>2025</v>
      </c>
      <c r="B27" s="15" t="inlineStr">
        <is>
          <t>第2回</t>
        </is>
      </c>
      <c r="C27" s="15" t="inlineStr">
        <is>
          <t>準2級</t>
        </is>
      </c>
      <c r="D27" s="15" t="inlineStr">
        <is>
          <t>高1</t>
        </is>
      </c>
      <c r="E27" s="15" t="inlineStr">
        <is>
          <t>松尾 成将</t>
        </is>
      </c>
      <c r="F27" s="15" t="inlineStr">
        <is>
          <t>有</t>
        </is>
      </c>
      <c r="G27" s="15" t="inlineStr">
        <is>
          <t>一次免除</t>
        </is>
      </c>
      <c r="H27" s="15" t="inlineStr">
        <is>
          <t>合格</t>
        </is>
      </c>
      <c r="I27" s="45" t="inlineStr">
        <is>
          <t>合格</t>
        </is>
      </c>
      <c r="J27" s="52" t="inlineStr">
        <is>
          <t>GP2 +1</t>
        </is>
      </c>
      <c r="K27" s="44" t="inlineStr">
        <is>
          <t>GP2 +1</t>
        </is>
      </c>
      <c r="L27" s="52" t="n">
        <v>476</v>
      </c>
      <c r="M27" s="15" t="n">
        <v>408</v>
      </c>
      <c r="N27" s="15" t="n">
        <v>460</v>
      </c>
      <c r="O27" s="101" t="n">
        <v>1344</v>
      </c>
      <c r="P27" s="52" t="n">
        <v>423</v>
      </c>
      <c r="Q27" s="104" t="n">
        <v>1767</v>
      </c>
      <c r="R27" s="52" t="inlineStr">
        <is>
          <t>A2</t>
        </is>
      </c>
      <c r="S27" s="15" t="inlineStr">
        <is>
          <t>A1</t>
        </is>
      </c>
      <c r="T27" s="44" t="inlineStr">
        <is>
          <t>A2</t>
        </is>
      </c>
      <c r="U27" s="64" t="inlineStr">
        <is>
          <t>A2</t>
        </is>
      </c>
      <c r="V27" s="70" t="inlineStr">
        <is>
          <t>A2</t>
        </is>
      </c>
      <c r="W27" s="52" t="n"/>
      <c r="X27" s="15" t="n"/>
      <c r="Y27" s="15" t="n"/>
      <c r="Z27" s="15" t="n"/>
      <c r="AA27" s="11" t="inlineStr">
        <is>
          <t>-</t>
        </is>
      </c>
      <c r="AB27" s="82" t="inlineStr">
        <is>
          <t>-</t>
        </is>
      </c>
      <c r="AC27" s="52" t="n"/>
      <c r="AD27" s="15" t="n"/>
      <c r="AE27" s="15" t="n"/>
      <c r="AF27" s="11" t="inlineStr">
        <is>
          <t>-</t>
        </is>
      </c>
      <c r="AG27" s="82" t="inlineStr">
        <is>
          <t>-</t>
        </is>
      </c>
      <c r="AH27" s="52" t="n"/>
      <c r="AI27" s="15" t="n"/>
      <c r="AJ27" s="15" t="n"/>
      <c r="AK27" s="15" t="n"/>
      <c r="AL27" s="15" t="n"/>
      <c r="AM27" s="15" t="n"/>
      <c r="AN27" s="15" t="n"/>
      <c r="AO27" s="15" t="n"/>
      <c r="AP27" s="11" t="inlineStr">
        <is>
          <t>-</t>
        </is>
      </c>
      <c r="AQ27" s="82" t="inlineStr">
        <is>
          <t>-</t>
        </is>
      </c>
      <c r="AR27" s="39" t="n">
        <v>4</v>
      </c>
      <c r="AS27" s="15" t="n">
        <v>17</v>
      </c>
      <c r="AT27" s="15" t="n">
        <v>3</v>
      </c>
      <c r="AU27" s="26">
        <f>SUM(テーブル13[[#This Row],[Speaking得点（リーディング）]:[Speaking得点（アティチュード）]])</f>
        <v/>
      </c>
    </row>
    <row r="28" ht="19.5" customHeight="1" s="107" thickBot="1">
      <c r="A28" s="40" t="n">
        <v>2025</v>
      </c>
      <c r="B28" s="16" t="inlineStr">
        <is>
          <t>第2回</t>
        </is>
      </c>
      <c r="C28" s="16" t="inlineStr">
        <is>
          <t>準2級</t>
        </is>
      </c>
      <c r="D28" s="16" t="inlineStr">
        <is>
          <t>高1</t>
        </is>
      </c>
      <c r="E28" s="16" t="inlineStr">
        <is>
          <t>舛谷 花音</t>
        </is>
      </c>
      <c r="F28" s="16" t="inlineStr">
        <is>
          <t>有</t>
        </is>
      </c>
      <c r="G28" s="16" t="inlineStr">
        <is>
          <t>一次免除</t>
        </is>
      </c>
      <c r="H28" s="16" t="inlineStr">
        <is>
          <t>合格</t>
        </is>
      </c>
      <c r="I28" s="46" t="inlineStr">
        <is>
          <t>合格</t>
        </is>
      </c>
      <c r="J28" s="53" t="inlineStr">
        <is>
          <t>GP2 +2</t>
        </is>
      </c>
      <c r="K28" s="54" t="inlineStr">
        <is>
          <t>GP2 +2</t>
        </is>
      </c>
      <c r="L28" s="53" t="n">
        <v>440</v>
      </c>
      <c r="M28" s="16" t="n">
        <v>435</v>
      </c>
      <c r="N28" s="16" t="n">
        <v>490</v>
      </c>
      <c r="O28" s="102" t="n">
        <v>1365</v>
      </c>
      <c r="P28" s="53" t="n">
        <v>438</v>
      </c>
      <c r="Q28" s="105" t="n">
        <v>1803</v>
      </c>
      <c r="R28" s="53" t="inlineStr">
        <is>
          <t>A2</t>
        </is>
      </c>
      <c r="S28" s="16" t="inlineStr">
        <is>
          <t>A1</t>
        </is>
      </c>
      <c r="T28" s="54" t="inlineStr">
        <is>
          <t>A2</t>
        </is>
      </c>
      <c r="U28" s="65" t="inlineStr">
        <is>
          <t>A2</t>
        </is>
      </c>
      <c r="V28" s="71" t="inlineStr">
        <is>
          <t>A2</t>
        </is>
      </c>
      <c r="W28" s="53" t="n"/>
      <c r="X28" s="16" t="n"/>
      <c r="Y28" s="16" t="n"/>
      <c r="Z28" s="16" t="n"/>
      <c r="AA28" s="12" t="inlineStr">
        <is>
          <t>-</t>
        </is>
      </c>
      <c r="AB28" s="83" t="inlineStr">
        <is>
          <t>-</t>
        </is>
      </c>
      <c r="AC28" s="53" t="n"/>
      <c r="AD28" s="16" t="n"/>
      <c r="AE28" s="16" t="n"/>
      <c r="AF28" s="12" t="inlineStr">
        <is>
          <t>-</t>
        </is>
      </c>
      <c r="AG28" s="83" t="inlineStr">
        <is>
          <t>-</t>
        </is>
      </c>
      <c r="AH28" s="53" t="n"/>
      <c r="AI28" s="16" t="n"/>
      <c r="AJ28" s="16" t="n"/>
      <c r="AK28" s="16" t="n"/>
      <c r="AL28" s="16" t="n"/>
      <c r="AM28" s="16" t="n"/>
      <c r="AN28" s="16" t="n"/>
      <c r="AO28" s="16" t="n"/>
      <c r="AP28" s="12" t="inlineStr">
        <is>
          <t>-</t>
        </is>
      </c>
      <c r="AQ28" s="83" t="inlineStr">
        <is>
          <t>-</t>
        </is>
      </c>
      <c r="AR28" s="40" t="n">
        <v>4</v>
      </c>
      <c r="AS28" s="16" t="n">
        <v>19</v>
      </c>
      <c r="AT28" s="16" t="n">
        <v>3</v>
      </c>
      <c r="AU28" s="30">
        <f>SUM(テーブル13[[#This Row],[Speaking得点（リーディング）]:[Speaking得点（アティチュード）]])</f>
        <v/>
      </c>
    </row>
    <row r="29" ht="19.5" customHeight="1" s="107" thickTop="1">
      <c r="A29" s="42" t="n">
        <v>2025</v>
      </c>
      <c r="B29" s="18" t="inlineStr">
        <is>
          <t>第1回</t>
        </is>
      </c>
      <c r="C29" s="18" t="inlineStr">
        <is>
          <t>3級</t>
        </is>
      </c>
      <c r="D29" s="18" t="inlineStr">
        <is>
          <t>高2</t>
        </is>
      </c>
      <c r="E29" s="18" t="inlineStr">
        <is>
          <t>松浦 亮斗</t>
        </is>
      </c>
      <c r="F29" s="18" t="inlineStr">
        <is>
          <t>無</t>
        </is>
      </c>
      <c r="G29" s="18" t="inlineStr">
        <is>
          <t>不合格</t>
        </is>
      </c>
      <c r="H29" s="18" t="inlineStr">
        <is>
          <t>－</t>
        </is>
      </c>
      <c r="I29" s="48" t="n"/>
      <c r="J29" s="57" t="inlineStr">
        <is>
          <t>G3 -4</t>
        </is>
      </c>
      <c r="K29" s="58" t="inlineStr">
        <is>
          <t>－</t>
        </is>
      </c>
      <c r="L29" s="57" t="n">
        <v>347</v>
      </c>
      <c r="M29" s="18" t="n">
        <v>299</v>
      </c>
      <c r="N29" s="18" t="n">
        <v>365</v>
      </c>
      <c r="O29" s="58" t="n">
        <v>1011</v>
      </c>
      <c r="P29" s="57" t="inlineStr">
        <is>
          <t>－</t>
        </is>
      </c>
      <c r="Q29" s="58" t="inlineStr">
        <is>
          <t>－</t>
        </is>
      </c>
      <c r="R29" s="57" t="inlineStr">
        <is>
          <t>－</t>
        </is>
      </c>
      <c r="S29" s="18" t="inlineStr">
        <is>
          <t>－</t>
        </is>
      </c>
      <c r="T29" s="58" t="inlineStr">
        <is>
          <t>A1</t>
        </is>
      </c>
      <c r="U29" s="67" t="inlineStr">
        <is>
          <t>－</t>
        </is>
      </c>
      <c r="V29" s="73" t="inlineStr">
        <is>
          <t>－</t>
        </is>
      </c>
      <c r="W29" s="57" t="n">
        <v>6</v>
      </c>
      <c r="X29" s="18" t="n">
        <v>1</v>
      </c>
      <c r="Y29" s="18" t="n">
        <v>5</v>
      </c>
      <c r="Z29" s="18" t="n"/>
      <c r="AA29" s="13">
        <f>SUM(テーブル13[[#This Row],[Reading正答数（大問1）]:[Reading正答数（大問4）]])</f>
        <v/>
      </c>
      <c r="AB29" s="81">
        <f>テーブル13[[#This Row],[リーディング正答数]]/30</f>
        <v/>
      </c>
      <c r="AC29" s="57" t="n">
        <v>2</v>
      </c>
      <c r="AD29" s="18" t="n">
        <v>4</v>
      </c>
      <c r="AE29" s="18" t="n">
        <v>6</v>
      </c>
      <c r="AF29" s="13">
        <f>SUM(テーブル13[[#This Row],[Listening正答数（大問1）]:[Listening正答数（大問3）]])</f>
        <v/>
      </c>
      <c r="AG29" s="81">
        <f>テーブル13[[#This Row],[Listening正答数]]/30</f>
        <v/>
      </c>
      <c r="AH29" s="57" t="n">
        <v>2</v>
      </c>
      <c r="AI29" s="18" t="n"/>
      <c r="AJ29" s="18" t="n">
        <v>3</v>
      </c>
      <c r="AK29" s="18" t="n">
        <v>2</v>
      </c>
      <c r="AL29" s="18" t="n">
        <v>2</v>
      </c>
      <c r="AM29" s="18" t="n">
        <v>3</v>
      </c>
      <c r="AN29" s="18" t="n">
        <v>2</v>
      </c>
      <c r="AO29" s="18" t="n">
        <v>3</v>
      </c>
      <c r="AP29" s="10">
        <f>SUM(テーブル13[[#This Row],[Writing設問1スコア（内容）]:[Writing設問2スコア（文法）]])</f>
        <v/>
      </c>
      <c r="AQ29" s="92" t="n"/>
      <c r="AR29" s="42" t="n"/>
      <c r="AS29" s="18" t="n"/>
      <c r="AT29" s="18" t="n"/>
      <c r="AU29" s="23" t="n"/>
    </row>
    <row r="30">
      <c r="A30" s="39" t="n">
        <v>2025</v>
      </c>
      <c r="B30" s="15" t="inlineStr">
        <is>
          <t>第1回</t>
        </is>
      </c>
      <c r="C30" s="15" t="inlineStr">
        <is>
          <t>3級</t>
        </is>
      </c>
      <c r="D30" s="15" t="inlineStr">
        <is>
          <t>中2</t>
        </is>
      </c>
      <c r="E30" s="15" t="inlineStr">
        <is>
          <t>酒井 翔梧</t>
        </is>
      </c>
      <c r="F30" s="15" t="inlineStr">
        <is>
          <t>無</t>
        </is>
      </c>
      <c r="G30" s="15" t="inlineStr">
        <is>
          <t>不合格</t>
        </is>
      </c>
      <c r="H30" s="15" t="inlineStr">
        <is>
          <t>－</t>
        </is>
      </c>
      <c r="I30" s="45" t="n"/>
      <c r="J30" s="52" t="inlineStr">
        <is>
          <t>G3 -1</t>
        </is>
      </c>
      <c r="K30" s="44" t="inlineStr">
        <is>
          <t>－</t>
        </is>
      </c>
      <c r="L30" s="52" t="n">
        <v>377</v>
      </c>
      <c r="M30" s="15" t="n">
        <v>347</v>
      </c>
      <c r="N30" s="15" t="n">
        <v>365</v>
      </c>
      <c r="O30" s="44" t="n">
        <v>1089</v>
      </c>
      <c r="P30" s="52" t="inlineStr">
        <is>
          <t>－</t>
        </is>
      </c>
      <c r="Q30" s="44" t="inlineStr">
        <is>
          <t>－</t>
        </is>
      </c>
      <c r="R30" s="52" t="inlineStr">
        <is>
          <t>－</t>
        </is>
      </c>
      <c r="S30" s="15" t="inlineStr">
        <is>
          <t>A1</t>
        </is>
      </c>
      <c r="T30" s="44" t="inlineStr">
        <is>
          <t>A1</t>
        </is>
      </c>
      <c r="U30" s="64" t="inlineStr">
        <is>
          <t>－</t>
        </is>
      </c>
      <c r="V30" s="70" t="inlineStr">
        <is>
          <t>－</t>
        </is>
      </c>
      <c r="W30" s="52" t="n">
        <v>7</v>
      </c>
      <c r="X30" s="15" t="n">
        <v>5</v>
      </c>
      <c r="Y30" s="15" t="n">
        <v>5</v>
      </c>
      <c r="Z30" s="15" t="n"/>
      <c r="AA30" s="10">
        <f>SUM(テーブル13[[#This Row],[Reading正答数（大問1）]:[Reading正答数（大問4）]])</f>
        <v/>
      </c>
      <c r="AB30" s="77">
        <f>テーブル13[[#This Row],[リーディング正答数]]/30</f>
        <v/>
      </c>
      <c r="AC30" s="52" t="n">
        <v>6</v>
      </c>
      <c r="AD30" s="15" t="n">
        <v>6</v>
      </c>
      <c r="AE30" s="15" t="n">
        <v>6</v>
      </c>
      <c r="AF30" s="10">
        <f>SUM(テーブル13[[#This Row],[Listening正答数（大問1）]:[Listening正答数（大問3）]])</f>
        <v/>
      </c>
      <c r="AG30" s="77">
        <f>テーブル13[[#This Row],[Listening正答数]]/30</f>
        <v/>
      </c>
      <c r="AH30" s="52" t="n">
        <v>2</v>
      </c>
      <c r="AI30" s="15" t="n"/>
      <c r="AJ30" s="15" t="n">
        <v>3</v>
      </c>
      <c r="AK30" s="15" t="n">
        <v>2</v>
      </c>
      <c r="AL30" s="15" t="n">
        <v>3</v>
      </c>
      <c r="AM30" s="15" t="n">
        <v>3</v>
      </c>
      <c r="AN30" s="15" t="n">
        <v>2</v>
      </c>
      <c r="AO30" s="15" t="n">
        <v>2</v>
      </c>
      <c r="AP30" s="10">
        <f>SUM(テーブル13[[#This Row],[Writing設問1スコア（内容）]:[Writing設問2スコア（文法）]])</f>
        <v/>
      </c>
      <c r="AQ30" s="88" t="n"/>
      <c r="AR30" s="39" t="n"/>
      <c r="AS30" s="15" t="n"/>
      <c r="AT30" s="15" t="n"/>
      <c r="AU30" s="22" t="n"/>
    </row>
    <row r="31">
      <c r="A31" s="39" t="n">
        <v>2025</v>
      </c>
      <c r="B31" s="15" t="inlineStr">
        <is>
          <t>第1回</t>
        </is>
      </c>
      <c r="C31" s="15" t="inlineStr">
        <is>
          <t>3級</t>
        </is>
      </c>
      <c r="D31" s="15" t="inlineStr">
        <is>
          <t>小6</t>
        </is>
      </c>
      <c r="E31" s="15" t="inlineStr">
        <is>
          <t>大西 彩李瑠</t>
        </is>
      </c>
      <c r="F31" s="15" t="inlineStr">
        <is>
          <t>無</t>
        </is>
      </c>
      <c r="G31" s="15" t="inlineStr">
        <is>
          <t>不合格</t>
        </is>
      </c>
      <c r="H31" s="15" t="inlineStr">
        <is>
          <t>－</t>
        </is>
      </c>
      <c r="I31" s="45" t="n"/>
      <c r="J31" s="52" t="inlineStr">
        <is>
          <t>G3 -8</t>
        </is>
      </c>
      <c r="K31" s="44" t="inlineStr">
        <is>
          <t>－</t>
        </is>
      </c>
      <c r="L31" s="52" t="n">
        <v>353</v>
      </c>
      <c r="M31" s="15" t="n">
        <v>339</v>
      </c>
      <c r="N31" s="15" t="n">
        <v>211</v>
      </c>
      <c r="O31" s="44" t="n">
        <v>903</v>
      </c>
      <c r="P31" s="52" t="inlineStr">
        <is>
          <t>－</t>
        </is>
      </c>
      <c r="Q31" s="44" t="inlineStr">
        <is>
          <t>－</t>
        </is>
      </c>
      <c r="R31" s="52" t="inlineStr">
        <is>
          <t>－</t>
        </is>
      </c>
      <c r="S31" s="15" t="inlineStr">
        <is>
          <t>－</t>
        </is>
      </c>
      <c r="T31" s="44" t="inlineStr">
        <is>
          <t>－</t>
        </is>
      </c>
      <c r="U31" s="64" t="inlineStr">
        <is>
          <t>－</t>
        </is>
      </c>
      <c r="V31" s="70" t="inlineStr">
        <is>
          <t>－</t>
        </is>
      </c>
      <c r="W31" s="52" t="n">
        <v>6</v>
      </c>
      <c r="X31" s="15" t="n">
        <v>1</v>
      </c>
      <c r="Y31" s="15" t="n">
        <v>6</v>
      </c>
      <c r="Z31" s="15" t="n"/>
      <c r="AA31" s="10">
        <f>SUM(テーブル13[[#This Row],[Reading正答数（大問1）]:[Reading正答数（大問4）]])</f>
        <v/>
      </c>
      <c r="AB31" s="77">
        <f>テーブル13[[#This Row],[リーディング正答数]]/30</f>
        <v/>
      </c>
      <c r="AC31" s="52" t="n">
        <v>4</v>
      </c>
      <c r="AD31" s="15" t="n">
        <v>6</v>
      </c>
      <c r="AE31" s="15" t="n">
        <v>7</v>
      </c>
      <c r="AF31" s="10">
        <f>SUM(テーブル13[[#This Row],[Listening正答数（大問1）]:[Listening正答数（大問3）]])</f>
        <v/>
      </c>
      <c r="AG31" s="77">
        <f>テーブル13[[#This Row],[Listening正答数]]/30</f>
        <v/>
      </c>
      <c r="AH31" s="52" t="n">
        <v>1</v>
      </c>
      <c r="AI31" s="15" t="n"/>
      <c r="AJ31" s="15" t="n">
        <v>2</v>
      </c>
      <c r="AK31" s="15" t="n">
        <v>1</v>
      </c>
      <c r="AL31" s="15" t="n">
        <v>1</v>
      </c>
      <c r="AM31" s="15" t="n">
        <v>1</v>
      </c>
      <c r="AN31" s="15" t="n">
        <v>1</v>
      </c>
      <c r="AO31" s="15" t="n">
        <v>1</v>
      </c>
      <c r="AP31" s="10">
        <f>SUM(テーブル13[[#This Row],[Writing設問1スコア（内容）]:[Writing設問2スコア（文法）]])</f>
        <v/>
      </c>
      <c r="AQ31" s="88" t="n"/>
      <c r="AR31" s="39" t="n"/>
      <c r="AS31" s="15" t="n"/>
      <c r="AT31" s="15" t="n"/>
      <c r="AU31" s="22" t="n"/>
    </row>
    <row r="32" customFormat="1" s="27">
      <c r="A32" s="39" t="n">
        <v>2025</v>
      </c>
      <c r="B32" s="15" t="inlineStr">
        <is>
          <t>第1回</t>
        </is>
      </c>
      <c r="C32" s="15" t="inlineStr">
        <is>
          <t>3級</t>
        </is>
      </c>
      <c r="D32" s="15" t="inlineStr">
        <is>
          <t>高3</t>
        </is>
      </c>
      <c r="E32" s="15" t="inlineStr">
        <is>
          <t>福島 彩月</t>
        </is>
      </c>
      <c r="F32" s="15" t="inlineStr">
        <is>
          <t>無</t>
        </is>
      </c>
      <c r="G32" s="15" t="inlineStr">
        <is>
          <t>合格</t>
        </is>
      </c>
      <c r="H32" s="15" t="inlineStr">
        <is>
          <t>合格</t>
        </is>
      </c>
      <c r="I32" s="45" t="inlineStr">
        <is>
          <t>合格</t>
        </is>
      </c>
      <c r="J32" s="52" t="inlineStr">
        <is>
          <t>G3 +4</t>
        </is>
      </c>
      <c r="K32" s="44" t="inlineStr">
        <is>
          <t>G3 +2</t>
        </is>
      </c>
      <c r="L32" s="52" t="n">
        <v>424</v>
      </c>
      <c r="M32" s="15" t="n">
        <v>364</v>
      </c>
      <c r="N32" s="15" t="n">
        <v>408</v>
      </c>
      <c r="O32" s="101" t="n">
        <v>1196</v>
      </c>
      <c r="P32" s="52" t="n">
        <v>390</v>
      </c>
      <c r="Q32" s="104" t="n">
        <v>1586</v>
      </c>
      <c r="R32" s="52" t="inlineStr">
        <is>
          <t>A1</t>
        </is>
      </c>
      <c r="S32" s="15" t="inlineStr">
        <is>
          <t>A1</t>
        </is>
      </c>
      <c r="T32" s="44" t="inlineStr">
        <is>
          <t>A1</t>
        </is>
      </c>
      <c r="U32" s="64" t="inlineStr">
        <is>
          <t>A1</t>
        </is>
      </c>
      <c r="V32" s="70" t="inlineStr">
        <is>
          <t>A1</t>
        </is>
      </c>
      <c r="W32" s="52" t="n">
        <v>13</v>
      </c>
      <c r="X32" s="15" t="n">
        <v>4</v>
      </c>
      <c r="Y32" s="15" t="n">
        <v>7</v>
      </c>
      <c r="Z32" s="15" t="n"/>
      <c r="AA32" s="25">
        <f>SUM(テーブル13[[#This Row],[Reading正答数（大問1）]:[Reading正答数（大問4）]])</f>
        <v/>
      </c>
      <c r="AB32" s="78">
        <f>テーブル13[[#This Row],[リーディング正答数]]/30</f>
        <v/>
      </c>
      <c r="AC32" s="52" t="n">
        <v>9</v>
      </c>
      <c r="AD32" s="15" t="n">
        <v>7</v>
      </c>
      <c r="AE32" s="15" t="n">
        <v>4</v>
      </c>
      <c r="AF32" s="25">
        <f>SUM(テーブル13[[#This Row],[Listening正答数（大問1）]:[Listening正答数（大問3）]])</f>
        <v/>
      </c>
      <c r="AG32" s="78">
        <f>テーブル13[[#This Row],[Listening正答数]]/30</f>
        <v/>
      </c>
      <c r="AH32" s="52" t="n">
        <v>2</v>
      </c>
      <c r="AI32" s="15" t="n"/>
      <c r="AJ32" s="15" t="n">
        <v>3</v>
      </c>
      <c r="AK32" s="15" t="n">
        <v>2</v>
      </c>
      <c r="AL32" s="15" t="n">
        <v>3</v>
      </c>
      <c r="AM32" s="15" t="n">
        <v>3</v>
      </c>
      <c r="AN32" s="15" t="n">
        <v>3</v>
      </c>
      <c r="AO32" s="15" t="n">
        <v>3</v>
      </c>
      <c r="AP32" s="25">
        <f>SUM(テーブル13[[#This Row],[Writing設問1スコア（内容）]:[Writing設問2スコア（文法）]])</f>
        <v/>
      </c>
      <c r="AQ32" s="89" t="n"/>
      <c r="AR32" s="39" t="n">
        <v>4</v>
      </c>
      <c r="AS32" s="15" t="n">
        <v>22</v>
      </c>
      <c r="AT32" s="15" t="n">
        <v>3</v>
      </c>
      <c r="AU32" s="26">
        <f>SUM(テーブル13[[#This Row],[Speaking得点（リーディング）]:[Speaking得点（アティチュード）]])</f>
        <v/>
      </c>
    </row>
    <row r="33" customFormat="1" s="27">
      <c r="A33" s="39" t="n">
        <v>2025</v>
      </c>
      <c r="B33" s="15" t="inlineStr">
        <is>
          <t>第1回</t>
        </is>
      </c>
      <c r="C33" s="15" t="inlineStr">
        <is>
          <t>3級</t>
        </is>
      </c>
      <c r="D33" s="15" t="inlineStr">
        <is>
          <t>小6</t>
        </is>
      </c>
      <c r="E33" s="15" t="inlineStr">
        <is>
          <t>佐々木 夏希</t>
        </is>
      </c>
      <c r="F33" s="15" t="inlineStr">
        <is>
          <t>無</t>
        </is>
      </c>
      <c r="G33" s="15" t="inlineStr">
        <is>
          <t>合格</t>
        </is>
      </c>
      <c r="H33" s="15" t="inlineStr">
        <is>
          <t>合格</t>
        </is>
      </c>
      <c r="I33" s="45" t="inlineStr">
        <is>
          <t>合格</t>
        </is>
      </c>
      <c r="J33" s="52" t="inlineStr">
        <is>
          <t>G3 +8</t>
        </is>
      </c>
      <c r="K33" s="44" t="inlineStr">
        <is>
          <t>G3 +1</t>
        </is>
      </c>
      <c r="L33" s="52" t="n">
        <v>434</v>
      </c>
      <c r="M33" s="15" t="n">
        <v>393</v>
      </c>
      <c r="N33" s="15" t="n">
        <v>478</v>
      </c>
      <c r="O33" s="101" t="n">
        <v>1305</v>
      </c>
      <c r="P33" s="52" t="n">
        <v>376</v>
      </c>
      <c r="Q33" s="104" t="n">
        <v>1681</v>
      </c>
      <c r="R33" s="52" t="inlineStr">
        <is>
          <t>A1</t>
        </is>
      </c>
      <c r="S33" s="15" t="inlineStr">
        <is>
          <t>A1</t>
        </is>
      </c>
      <c r="T33" s="44" t="inlineStr">
        <is>
          <t>A1</t>
        </is>
      </c>
      <c r="U33" s="64" t="inlineStr">
        <is>
          <t>A1</t>
        </is>
      </c>
      <c r="V33" s="70" t="inlineStr">
        <is>
          <t>A1</t>
        </is>
      </c>
      <c r="W33" s="52" t="n">
        <v>11</v>
      </c>
      <c r="X33" s="15" t="n">
        <v>5</v>
      </c>
      <c r="Y33" s="15" t="n">
        <v>9</v>
      </c>
      <c r="Z33" s="15" t="n"/>
      <c r="AA33" s="25">
        <f>SUM(テーブル13[[#This Row],[Reading正答数（大問1）]:[Reading正答数（大問4）]])</f>
        <v/>
      </c>
      <c r="AB33" s="78">
        <f>テーブル13[[#This Row],[リーディング正答数]]/30</f>
        <v/>
      </c>
      <c r="AC33" s="52" t="n">
        <v>7</v>
      </c>
      <c r="AD33" s="15" t="n">
        <v>9</v>
      </c>
      <c r="AE33" s="15" t="n">
        <v>7</v>
      </c>
      <c r="AF33" s="25">
        <f>SUM(テーブル13[[#This Row],[Listening正答数（大問1）]:[Listening正答数（大問3）]])</f>
        <v/>
      </c>
      <c r="AG33" s="78">
        <f>テーブル13[[#This Row],[Listening正答数]]/30</f>
        <v/>
      </c>
      <c r="AH33" s="52" t="n">
        <v>2</v>
      </c>
      <c r="AI33" s="15" t="n"/>
      <c r="AJ33" s="15" t="n">
        <v>2</v>
      </c>
      <c r="AK33" s="15" t="n">
        <v>2</v>
      </c>
      <c r="AL33" s="15" t="n">
        <v>4</v>
      </c>
      <c r="AM33" s="15" t="n">
        <v>4</v>
      </c>
      <c r="AN33" s="15" t="n">
        <v>4</v>
      </c>
      <c r="AO33" s="15" t="n">
        <v>4</v>
      </c>
      <c r="AP33" s="25">
        <f>SUM(テーブル13[[#This Row],[Writing設問1スコア（内容）]:[Writing設問2スコア（文法）]])</f>
        <v/>
      </c>
      <c r="AQ33" s="89" t="n"/>
      <c r="AR33" s="39" t="n">
        <v>3</v>
      </c>
      <c r="AS33" s="15" t="n">
        <v>22</v>
      </c>
      <c r="AT33" s="15" t="n">
        <v>2</v>
      </c>
      <c r="AU33" s="26">
        <f>SUM(テーブル13[[#This Row],[Speaking得点（リーディング）]:[Speaking得点（アティチュード）]])</f>
        <v/>
      </c>
    </row>
    <row r="34" customFormat="1" s="27">
      <c r="A34" s="39" t="n">
        <v>2025</v>
      </c>
      <c r="B34" s="15" t="inlineStr">
        <is>
          <t>第1回</t>
        </is>
      </c>
      <c r="C34" s="15" t="inlineStr">
        <is>
          <t>3級</t>
        </is>
      </c>
      <c r="D34" s="15" t="inlineStr">
        <is>
          <t>中2</t>
        </is>
      </c>
      <c r="E34" s="15" t="inlineStr">
        <is>
          <t>古川 菜奈世</t>
        </is>
      </c>
      <c r="F34" s="15" t="inlineStr">
        <is>
          <t>無</t>
        </is>
      </c>
      <c r="G34" s="15" t="inlineStr">
        <is>
          <t>合格</t>
        </is>
      </c>
      <c r="H34" s="15" t="inlineStr">
        <is>
          <t>不合格</t>
        </is>
      </c>
      <c r="I34" s="45" t="inlineStr">
        <is>
          <t>不合格</t>
        </is>
      </c>
      <c r="J34" s="52" t="inlineStr">
        <is>
          <t>G3 +4</t>
        </is>
      </c>
      <c r="K34" s="44" t="inlineStr">
        <is>
          <t>G3 -1</t>
        </is>
      </c>
      <c r="L34" s="52" t="n">
        <v>347</v>
      </c>
      <c r="M34" s="15" t="n">
        <v>383</v>
      </c>
      <c r="N34" s="15" t="n">
        <v>453</v>
      </c>
      <c r="O34" s="101" t="n">
        <v>1183</v>
      </c>
      <c r="P34" s="52" t="n">
        <v>340</v>
      </c>
      <c r="Q34" s="44" t="n">
        <v>1523</v>
      </c>
      <c r="R34" s="52" t="inlineStr">
        <is>
          <t>－</t>
        </is>
      </c>
      <c r="S34" s="15" t="inlineStr">
        <is>
          <t>A1</t>
        </is>
      </c>
      <c r="T34" s="44" t="inlineStr">
        <is>
          <t>A1</t>
        </is>
      </c>
      <c r="U34" s="64" t="inlineStr">
        <is>
          <t>－</t>
        </is>
      </c>
      <c r="V34" s="70" t="inlineStr">
        <is>
          <t>A1</t>
        </is>
      </c>
      <c r="W34" s="52" t="n">
        <v>6</v>
      </c>
      <c r="X34" s="15" t="n">
        <v>2</v>
      </c>
      <c r="Y34" s="15" t="n">
        <v>4</v>
      </c>
      <c r="Z34" s="15" t="n"/>
      <c r="AA34" s="25">
        <f>SUM(テーブル13[[#This Row],[Reading正答数（大問1）]:[Reading正答数（大問4）]])</f>
        <v/>
      </c>
      <c r="AB34" s="78">
        <f>テーブル13[[#This Row],[リーディング正答数]]/30</f>
        <v/>
      </c>
      <c r="AC34" s="52" t="n">
        <v>6</v>
      </c>
      <c r="AD34" s="15" t="n">
        <v>9</v>
      </c>
      <c r="AE34" s="15" t="n">
        <v>7</v>
      </c>
      <c r="AF34" s="25">
        <f>SUM(テーブル13[[#This Row],[Listening正答数（大問1）]:[Listening正答数（大問3）]])</f>
        <v/>
      </c>
      <c r="AG34" s="78">
        <f>テーブル13[[#This Row],[Listening正答数]]/30</f>
        <v/>
      </c>
      <c r="AH34" s="52" t="n">
        <v>3</v>
      </c>
      <c r="AI34" s="15" t="n"/>
      <c r="AJ34" s="15" t="n">
        <v>3</v>
      </c>
      <c r="AK34" s="15" t="n">
        <v>2</v>
      </c>
      <c r="AL34" s="15" t="n">
        <v>3</v>
      </c>
      <c r="AM34" s="15" t="n">
        <v>4</v>
      </c>
      <c r="AN34" s="15" t="n">
        <v>3</v>
      </c>
      <c r="AO34" s="15" t="n">
        <v>3</v>
      </c>
      <c r="AP34" s="25">
        <f>SUM(テーブル13[[#This Row],[Writing設問1スコア（内容）]:[Writing設問2スコア（文法）]])</f>
        <v/>
      </c>
      <c r="AQ34" s="89" t="n"/>
      <c r="AR34" s="39" t="n">
        <v>2</v>
      </c>
      <c r="AS34" s="15" t="n">
        <v>16</v>
      </c>
      <c r="AT34" s="15" t="n">
        <v>1</v>
      </c>
      <c r="AU34" s="22">
        <f>SUM(テーブル13[[#This Row],[Speaking得点（リーディング）]:[Speaking得点（アティチュード）]])</f>
        <v/>
      </c>
    </row>
    <row r="35" customFormat="1" s="27">
      <c r="A35" s="39" t="n">
        <v>2025</v>
      </c>
      <c r="B35" s="15" t="inlineStr">
        <is>
          <t>第1回</t>
        </is>
      </c>
      <c r="C35" s="15" t="inlineStr">
        <is>
          <t>3級</t>
        </is>
      </c>
      <c r="D35" s="15" t="inlineStr">
        <is>
          <t>中3</t>
        </is>
      </c>
      <c r="E35" s="15" t="inlineStr">
        <is>
          <t>石橋 美來</t>
        </is>
      </c>
      <c r="F35" s="15" t="inlineStr">
        <is>
          <t>無</t>
        </is>
      </c>
      <c r="G35" s="15" t="inlineStr">
        <is>
          <t>合格</t>
        </is>
      </c>
      <c r="H35" s="15" t="inlineStr">
        <is>
          <t>合格</t>
        </is>
      </c>
      <c r="I35" s="45" t="inlineStr">
        <is>
          <t>合格</t>
        </is>
      </c>
      <c r="J35" s="52" t="inlineStr">
        <is>
          <t>G3 +4</t>
        </is>
      </c>
      <c r="K35" s="44" t="inlineStr">
        <is>
          <t>G3 +1</t>
        </is>
      </c>
      <c r="L35" s="52" t="n">
        <v>395</v>
      </c>
      <c r="M35" s="15" t="n">
        <v>339</v>
      </c>
      <c r="N35" s="15" t="n">
        <v>453</v>
      </c>
      <c r="O35" s="101" t="n">
        <v>1187</v>
      </c>
      <c r="P35" s="52" t="n">
        <v>370</v>
      </c>
      <c r="Q35" s="104" t="n">
        <v>1557</v>
      </c>
      <c r="R35" s="52" t="inlineStr">
        <is>
          <t>A1</t>
        </is>
      </c>
      <c r="S35" s="15" t="inlineStr">
        <is>
          <t>－</t>
        </is>
      </c>
      <c r="T35" s="44" t="inlineStr">
        <is>
          <t>A1</t>
        </is>
      </c>
      <c r="U35" s="64" t="inlineStr">
        <is>
          <t>A1</t>
        </is>
      </c>
      <c r="V35" s="70" t="inlineStr">
        <is>
          <t>A1</t>
        </is>
      </c>
      <c r="W35" s="52" t="n">
        <v>9</v>
      </c>
      <c r="X35" s="15" t="n">
        <v>3</v>
      </c>
      <c r="Y35" s="15" t="n">
        <v>8</v>
      </c>
      <c r="Z35" s="15" t="n"/>
      <c r="AA35" s="25">
        <f>SUM(テーブル13[[#This Row],[Reading正答数（大問1）]:[Reading正答数（大問4）]])</f>
        <v/>
      </c>
      <c r="AB35" s="78">
        <f>テーブル13[[#This Row],[リーディング正答数]]/30</f>
        <v/>
      </c>
      <c r="AC35" s="52" t="n">
        <v>4</v>
      </c>
      <c r="AD35" s="15" t="n">
        <v>6</v>
      </c>
      <c r="AE35" s="15" t="n">
        <v>7</v>
      </c>
      <c r="AF35" s="25">
        <f>SUM(テーブル13[[#This Row],[Listening正答数（大問1）]:[Listening正答数（大問3）]])</f>
        <v/>
      </c>
      <c r="AG35" s="78">
        <f>テーブル13[[#This Row],[Listening正答数]]/30</f>
        <v/>
      </c>
      <c r="AH35" s="52" t="n">
        <v>2</v>
      </c>
      <c r="AI35" s="15" t="n"/>
      <c r="AJ35" s="15" t="n">
        <v>3</v>
      </c>
      <c r="AK35" s="15" t="n">
        <v>2</v>
      </c>
      <c r="AL35" s="15" t="n">
        <v>4</v>
      </c>
      <c r="AM35" s="15" t="n">
        <v>4</v>
      </c>
      <c r="AN35" s="15" t="n">
        <v>3</v>
      </c>
      <c r="AO35" s="15" t="n">
        <v>3</v>
      </c>
      <c r="AP35" s="25">
        <f>SUM(テーブル13[[#This Row],[Writing設問1スコア（内容）]:[Writing設問2スコア（文法）]])</f>
        <v/>
      </c>
      <c r="AQ35" s="89" t="n"/>
      <c r="AR35" s="39" t="n">
        <v>3</v>
      </c>
      <c r="AS35" s="15" t="n">
        <v>21</v>
      </c>
      <c r="AT35" s="15" t="n">
        <v>2</v>
      </c>
      <c r="AU35" s="26">
        <f>SUM(テーブル13[[#This Row],[Speaking得点（リーディング）]:[Speaking得点（アティチュード）]])</f>
        <v/>
      </c>
    </row>
    <row r="36">
      <c r="A36" s="39" t="n">
        <v>2025</v>
      </c>
      <c r="B36" s="15" t="inlineStr">
        <is>
          <t>第2回</t>
        </is>
      </c>
      <c r="C36" s="15" t="inlineStr">
        <is>
          <t>3級</t>
        </is>
      </c>
      <c r="D36" s="15" t="inlineStr">
        <is>
          <t>小6</t>
        </is>
      </c>
      <c r="E36" s="15" t="inlineStr">
        <is>
          <t>大西 彩李瑠</t>
        </is>
      </c>
      <c r="F36" s="15" t="inlineStr">
        <is>
          <t>無</t>
        </is>
      </c>
      <c r="G36" s="15" t="inlineStr">
        <is>
          <t>不合格</t>
        </is>
      </c>
      <c r="H36" s="15" t="inlineStr">
        <is>
          <t>－</t>
        </is>
      </c>
      <c r="I36" s="45" t="n"/>
      <c r="J36" s="52" t="inlineStr">
        <is>
          <t>G3 -6</t>
        </is>
      </c>
      <c r="K36" s="44" t="inlineStr">
        <is>
          <t>－</t>
        </is>
      </c>
      <c r="L36" s="52" t="n">
        <v>347</v>
      </c>
      <c r="M36" s="15" t="n">
        <v>308</v>
      </c>
      <c r="N36" s="15" t="n">
        <v>299</v>
      </c>
      <c r="O36" s="44" t="n">
        <v>954</v>
      </c>
      <c r="P36" s="52" t="inlineStr">
        <is>
          <t>－</t>
        </is>
      </c>
      <c r="Q36" s="44" t="inlineStr">
        <is>
          <t>－</t>
        </is>
      </c>
      <c r="R36" s="52" t="inlineStr">
        <is>
          <t>－</t>
        </is>
      </c>
      <c r="S36" s="15" t="inlineStr">
        <is>
          <t>－</t>
        </is>
      </c>
      <c r="T36" s="44" t="inlineStr">
        <is>
          <t>－</t>
        </is>
      </c>
      <c r="U36" s="64" t="inlineStr">
        <is>
          <t>－</t>
        </is>
      </c>
      <c r="V36" s="70" t="inlineStr">
        <is>
          <t>－</t>
        </is>
      </c>
      <c r="W36" s="52" t="n">
        <v>4</v>
      </c>
      <c r="X36" s="15" t="n">
        <v>2</v>
      </c>
      <c r="Y36" s="15" t="n">
        <v>9</v>
      </c>
      <c r="Z36" s="15" t="n"/>
      <c r="AA36" s="10">
        <f>SUM(テーブル13[[#This Row],[Reading正答数（大問1）]:[Reading正答数（大問4）]])</f>
        <v/>
      </c>
      <c r="AB36" s="77">
        <f>テーブル13[[#This Row],[リーディング正答数]]/30</f>
        <v/>
      </c>
      <c r="AC36" s="52" t="n">
        <v>6</v>
      </c>
      <c r="AD36" s="15" t="n">
        <v>5</v>
      </c>
      <c r="AE36" s="15" t="n">
        <v>3</v>
      </c>
      <c r="AF36" s="10">
        <f>SUM(テーブル13[[#This Row],[Listening正答数（大問1）]:[Listening正答数（大問3）]])</f>
        <v/>
      </c>
      <c r="AG36" s="77">
        <f>テーブル13[[#This Row],[Listening正答数]]/30</f>
        <v/>
      </c>
      <c r="AH36" s="52" t="n">
        <v>2</v>
      </c>
      <c r="AI36" s="15" t="n"/>
      <c r="AJ36" s="15" t="n">
        <v>2</v>
      </c>
      <c r="AK36" s="15" t="n">
        <v>1</v>
      </c>
      <c r="AL36" s="15" t="n">
        <v>2</v>
      </c>
      <c r="AM36" s="15" t="n">
        <v>2</v>
      </c>
      <c r="AN36" s="15" t="n">
        <v>2</v>
      </c>
      <c r="AO36" s="15" t="n">
        <v>2</v>
      </c>
      <c r="AP36" s="10">
        <f>SUM(テーブル13[[#This Row],[Writing設問1スコア（内容）]:[Writing設問2スコア（文法）]])</f>
        <v/>
      </c>
      <c r="AQ36" s="88" t="n"/>
      <c r="AR36" s="39" t="n"/>
      <c r="AS36" s="15" t="n"/>
      <c r="AT36" s="15" t="n"/>
      <c r="AU36" s="22" t="n"/>
    </row>
    <row r="37" customFormat="1" s="27">
      <c r="A37" s="39" t="n">
        <v>2025</v>
      </c>
      <c r="B37" s="15" t="inlineStr">
        <is>
          <t>第2回</t>
        </is>
      </c>
      <c r="C37" s="15" t="inlineStr">
        <is>
          <t>3級</t>
        </is>
      </c>
      <c r="D37" s="15" t="inlineStr">
        <is>
          <t>小5</t>
        </is>
      </c>
      <c r="E37" s="15" t="inlineStr">
        <is>
          <t>栁川 奈未</t>
        </is>
      </c>
      <c r="F37" s="15" t="inlineStr">
        <is>
          <t>無</t>
        </is>
      </c>
      <c r="G37" s="15" t="inlineStr">
        <is>
          <t>合格</t>
        </is>
      </c>
      <c r="H37" s="15" t="inlineStr">
        <is>
          <t>合格</t>
        </is>
      </c>
      <c r="I37" s="45" t="inlineStr">
        <is>
          <t>合格</t>
        </is>
      </c>
      <c r="J37" s="52" t="inlineStr">
        <is>
          <t>G3 +1</t>
        </is>
      </c>
      <c r="K37" s="44" t="inlineStr">
        <is>
          <t>G3 +2</t>
        </is>
      </c>
      <c r="L37" s="52" t="n">
        <v>373</v>
      </c>
      <c r="M37" s="15" t="n">
        <v>361</v>
      </c>
      <c r="N37" s="15" t="n">
        <v>375</v>
      </c>
      <c r="O37" s="101" t="n">
        <v>1109</v>
      </c>
      <c r="P37" s="52" t="n">
        <v>389</v>
      </c>
      <c r="Q37" s="104" t="n">
        <v>1498</v>
      </c>
      <c r="R37" s="52" t="inlineStr">
        <is>
          <t>－</t>
        </is>
      </c>
      <c r="S37" s="15" t="inlineStr">
        <is>
          <t>A1</t>
        </is>
      </c>
      <c r="T37" s="44" t="inlineStr">
        <is>
          <t>A1</t>
        </is>
      </c>
      <c r="U37" s="64" t="inlineStr">
        <is>
          <t>A1</t>
        </is>
      </c>
      <c r="V37" s="70" t="inlineStr">
        <is>
          <t>A1</t>
        </is>
      </c>
      <c r="W37" s="52" t="n">
        <v>10</v>
      </c>
      <c r="X37" s="15" t="n">
        <v>2</v>
      </c>
      <c r="Y37" s="15" t="n">
        <v>7</v>
      </c>
      <c r="Z37" s="15" t="n"/>
      <c r="AA37" s="25">
        <f>SUM(テーブル13[[#This Row],[Reading正答数（大問1）]:[Reading正答数（大問4）]])</f>
        <v/>
      </c>
      <c r="AB37" s="78">
        <f>テーブル13[[#This Row],[リーディング正答数]]/30</f>
        <v/>
      </c>
      <c r="AC37" s="52" t="n">
        <v>7</v>
      </c>
      <c r="AD37" s="15" t="n">
        <v>7</v>
      </c>
      <c r="AE37" s="15" t="n">
        <v>7</v>
      </c>
      <c r="AF37" s="25">
        <f>SUM(テーブル13[[#This Row],[Listening正答数（大問1）]:[Listening正答数（大問3）]])</f>
        <v/>
      </c>
      <c r="AG37" s="78">
        <f>テーブル13[[#This Row],[Listening正答数]]/30</f>
        <v/>
      </c>
      <c r="AH37" s="52" t="n">
        <v>3</v>
      </c>
      <c r="AI37" s="15" t="n"/>
      <c r="AJ37" s="15" t="n">
        <v>3</v>
      </c>
      <c r="AK37" s="15" t="n">
        <v>3</v>
      </c>
      <c r="AL37" s="15" t="n">
        <v>2</v>
      </c>
      <c r="AM37" s="15" t="n">
        <v>3</v>
      </c>
      <c r="AN37" s="15" t="n">
        <v>2</v>
      </c>
      <c r="AO37" s="15" t="n">
        <v>2</v>
      </c>
      <c r="AP37" s="25">
        <f>SUM(テーブル13[[#This Row],[Writing設問1スコア（内容）]:[Writing設問2スコア（文法）]])</f>
        <v/>
      </c>
      <c r="AQ37" s="89" t="n"/>
      <c r="AR37" s="39" t="n">
        <v>4</v>
      </c>
      <c r="AS37" s="15" t="n">
        <v>20</v>
      </c>
      <c r="AT37" s="15" t="n">
        <v>3</v>
      </c>
      <c r="AU37" s="26">
        <f>SUM(テーブル13[[#This Row],[Speaking得点（リーディング）]:[Speaking得点（アティチュード）]])</f>
        <v/>
      </c>
    </row>
    <row r="38" customFormat="1" s="27">
      <c r="A38" s="39" t="n">
        <v>2025</v>
      </c>
      <c r="B38" s="15" t="inlineStr">
        <is>
          <t>第2回</t>
        </is>
      </c>
      <c r="C38" s="15" t="inlineStr">
        <is>
          <t>3級</t>
        </is>
      </c>
      <c r="D38" s="15" t="inlineStr">
        <is>
          <t>小6</t>
        </is>
      </c>
      <c r="E38" s="15" t="inlineStr">
        <is>
          <t>中岡 香乃</t>
        </is>
      </c>
      <c r="F38" s="15" t="inlineStr">
        <is>
          <t>無</t>
        </is>
      </c>
      <c r="G38" s="15" t="inlineStr">
        <is>
          <t>合格</t>
        </is>
      </c>
      <c r="H38" s="15" t="inlineStr">
        <is>
          <t>合格</t>
        </is>
      </c>
      <c r="I38" s="45" t="inlineStr">
        <is>
          <t>合格</t>
        </is>
      </c>
      <c r="J38" s="52" t="inlineStr">
        <is>
          <t>G3 +4</t>
        </is>
      </c>
      <c r="K38" s="44" t="inlineStr">
        <is>
          <t>G3 +1</t>
        </is>
      </c>
      <c r="L38" s="52" t="n">
        <v>412</v>
      </c>
      <c r="M38" s="15" t="n">
        <v>401</v>
      </c>
      <c r="N38" s="15" t="n">
        <v>375</v>
      </c>
      <c r="O38" s="101" t="n">
        <v>1188</v>
      </c>
      <c r="P38" s="52" t="n">
        <v>371</v>
      </c>
      <c r="Q38" s="104" t="n">
        <v>1559</v>
      </c>
      <c r="R38" s="52" t="inlineStr">
        <is>
          <t>A1</t>
        </is>
      </c>
      <c r="S38" s="15" t="inlineStr">
        <is>
          <t>A1</t>
        </is>
      </c>
      <c r="T38" s="44" t="inlineStr">
        <is>
          <t>A1</t>
        </is>
      </c>
      <c r="U38" s="64" t="inlineStr">
        <is>
          <t>A1</t>
        </is>
      </c>
      <c r="V38" s="70" t="inlineStr">
        <is>
          <t>A1</t>
        </is>
      </c>
      <c r="W38" s="52" t="n">
        <v>12</v>
      </c>
      <c r="X38" s="15" t="n">
        <v>3</v>
      </c>
      <c r="Y38" s="15" t="n">
        <v>9</v>
      </c>
      <c r="Z38" s="15" t="n"/>
      <c r="AA38" s="25">
        <f>SUM(テーブル13[[#This Row],[Reading正答数（大問1）]:[Reading正答数（大問4）]])</f>
        <v/>
      </c>
      <c r="AB38" s="78">
        <f>テーブル13[[#This Row],[リーディング正答数]]/30</f>
        <v/>
      </c>
      <c r="AC38" s="52" t="n">
        <v>7</v>
      </c>
      <c r="AD38" s="15" t="n">
        <v>9</v>
      </c>
      <c r="AE38" s="15" t="n">
        <v>9</v>
      </c>
      <c r="AF38" s="25">
        <f>SUM(テーブル13[[#This Row],[Listening正答数（大問1）]:[Listening正答数（大問3）]])</f>
        <v/>
      </c>
      <c r="AG38" s="78">
        <f>テーブル13[[#This Row],[Listening正答数]]/30</f>
        <v/>
      </c>
      <c r="AH38" s="52" t="n">
        <v>2</v>
      </c>
      <c r="AI38" s="15" t="n"/>
      <c r="AJ38" s="15" t="n">
        <v>3</v>
      </c>
      <c r="AK38" s="15" t="n">
        <v>2</v>
      </c>
      <c r="AL38" s="15" t="n">
        <v>3</v>
      </c>
      <c r="AM38" s="15" t="n">
        <v>3</v>
      </c>
      <c r="AN38" s="15" t="n">
        <v>3</v>
      </c>
      <c r="AO38" s="15" t="n">
        <v>2</v>
      </c>
      <c r="AP38" s="25">
        <f>SUM(テーブル13[[#This Row],[Writing設問1スコア（内容）]:[Writing設問2スコア（文法）]])</f>
        <v/>
      </c>
      <c r="AQ38" s="89" t="n"/>
      <c r="AR38" s="39" t="n">
        <v>3</v>
      </c>
      <c r="AS38" s="15" t="n">
        <v>18</v>
      </c>
      <c r="AT38" s="15" t="n">
        <v>3</v>
      </c>
      <c r="AU38" s="26">
        <f>SUM(テーブル13[[#This Row],[Speaking得点（リーディング）]:[Speaking得点（アティチュード）]])</f>
        <v/>
      </c>
    </row>
    <row r="39" customFormat="1" s="27">
      <c r="A39" s="39" t="n">
        <v>2025</v>
      </c>
      <c r="B39" s="15" t="inlineStr">
        <is>
          <t>第2回</t>
        </is>
      </c>
      <c r="C39" s="15" t="inlineStr">
        <is>
          <t>3級</t>
        </is>
      </c>
      <c r="D39" s="15" t="inlineStr">
        <is>
          <t>小5</t>
        </is>
      </c>
      <c r="E39" s="15" t="inlineStr">
        <is>
          <t>藤田 陽菜</t>
        </is>
      </c>
      <c r="F39" s="15" t="inlineStr">
        <is>
          <t>無</t>
        </is>
      </c>
      <c r="G39" s="15" t="inlineStr">
        <is>
          <t>合格</t>
        </is>
      </c>
      <c r="H39" s="15" t="inlineStr">
        <is>
          <t>合格</t>
        </is>
      </c>
      <c r="I39" s="45" t="inlineStr">
        <is>
          <t>合格</t>
        </is>
      </c>
      <c r="J39" s="52" t="inlineStr">
        <is>
          <t>G3 +1</t>
        </is>
      </c>
      <c r="K39" s="44" t="inlineStr">
        <is>
          <t>G3 +1</t>
        </is>
      </c>
      <c r="L39" s="52" t="n">
        <v>380</v>
      </c>
      <c r="M39" s="15" t="n">
        <v>330</v>
      </c>
      <c r="N39" s="15" t="n">
        <v>394</v>
      </c>
      <c r="O39" s="101" t="n">
        <v>1104</v>
      </c>
      <c r="P39" s="52" t="n">
        <v>377</v>
      </c>
      <c r="Q39" s="104" t="n">
        <v>1481</v>
      </c>
      <c r="R39" s="52" t="inlineStr">
        <is>
          <t>A1</t>
        </is>
      </c>
      <c r="S39" s="15" t="inlineStr">
        <is>
          <t>－</t>
        </is>
      </c>
      <c r="T39" s="44" t="inlineStr">
        <is>
          <t>A1</t>
        </is>
      </c>
      <c r="U39" s="64" t="inlineStr">
        <is>
          <t>A1</t>
        </is>
      </c>
      <c r="V39" s="70" t="inlineStr">
        <is>
          <t>A1</t>
        </is>
      </c>
      <c r="W39" s="52" t="n">
        <v>9</v>
      </c>
      <c r="X39" s="15" t="n">
        <v>1</v>
      </c>
      <c r="Y39" s="15" t="n">
        <v>10</v>
      </c>
      <c r="Z39" s="15" t="n"/>
      <c r="AA39" s="25">
        <f>SUM(テーブル13[[#This Row],[Reading正答数（大問1）]:[Reading正答数（大問4）]])</f>
        <v/>
      </c>
      <c r="AB39" s="78">
        <f>テーブル13[[#This Row],[リーディング正答数]]/30</f>
        <v/>
      </c>
      <c r="AC39" s="52" t="n">
        <v>5</v>
      </c>
      <c r="AD39" s="15" t="n">
        <v>7</v>
      </c>
      <c r="AE39" s="15" t="n">
        <v>5</v>
      </c>
      <c r="AF39" s="25">
        <f>SUM(テーブル13[[#This Row],[Listening正答数（大問1）]:[Listening正答数（大問3）]])</f>
        <v/>
      </c>
      <c r="AG39" s="78">
        <f>テーブル13[[#This Row],[Listening正答数]]/30</f>
        <v/>
      </c>
      <c r="AH39" s="52" t="n">
        <v>3</v>
      </c>
      <c r="AI39" s="15" t="n"/>
      <c r="AJ39" s="15" t="n">
        <v>3</v>
      </c>
      <c r="AK39" s="15" t="n">
        <v>2</v>
      </c>
      <c r="AL39" s="15" t="n">
        <v>3</v>
      </c>
      <c r="AM39" s="15" t="n">
        <v>3</v>
      </c>
      <c r="AN39" s="15" t="n">
        <v>3</v>
      </c>
      <c r="AO39" s="15" t="n">
        <v>2</v>
      </c>
      <c r="AP39" s="25">
        <f>SUM(テーブル13[[#This Row],[Writing設問1スコア（内容）]:[Writing設問2スコア（文法）]])</f>
        <v/>
      </c>
      <c r="AQ39" s="89" t="n"/>
      <c r="AR39" s="39" t="n">
        <v>3</v>
      </c>
      <c r="AS39" s="15" t="n">
        <v>19</v>
      </c>
      <c r="AT39" s="15" t="n">
        <v>3</v>
      </c>
      <c r="AU39" s="26">
        <f>SUM(テーブル13[[#This Row],[Speaking得点（リーディング）]:[Speaking得点（アティチュード）]])</f>
        <v/>
      </c>
    </row>
    <row r="40" customFormat="1" s="27">
      <c r="A40" s="39" t="n">
        <v>2025</v>
      </c>
      <c r="B40" s="15" t="inlineStr">
        <is>
          <t>第2回</t>
        </is>
      </c>
      <c r="C40" s="15" t="inlineStr">
        <is>
          <t>3級</t>
        </is>
      </c>
      <c r="D40" s="15" t="inlineStr">
        <is>
          <t>中2</t>
        </is>
      </c>
      <c r="E40" s="15" t="inlineStr">
        <is>
          <t>酒井 翔梧</t>
        </is>
      </c>
      <c r="F40" s="15" t="inlineStr">
        <is>
          <t>無</t>
        </is>
      </c>
      <c r="G40" s="15" t="inlineStr">
        <is>
          <t>合格</t>
        </is>
      </c>
      <c r="H40" s="15" t="inlineStr">
        <is>
          <t>合格</t>
        </is>
      </c>
      <c r="I40" s="45" t="inlineStr">
        <is>
          <t>合格</t>
        </is>
      </c>
      <c r="J40" s="52" t="inlineStr">
        <is>
          <t>G3 +2</t>
        </is>
      </c>
      <c r="K40" s="44" t="inlineStr">
        <is>
          <t>G3 +1</t>
        </is>
      </c>
      <c r="L40" s="52" t="n">
        <v>395</v>
      </c>
      <c r="M40" s="15" t="n">
        <v>345</v>
      </c>
      <c r="N40" s="15" t="n">
        <v>413</v>
      </c>
      <c r="O40" s="101" t="n">
        <v>1153</v>
      </c>
      <c r="P40" s="52" t="n">
        <v>377</v>
      </c>
      <c r="Q40" s="104" t="n">
        <v>1530</v>
      </c>
      <c r="R40" s="52" t="inlineStr">
        <is>
          <t>A1</t>
        </is>
      </c>
      <c r="S40" s="15" t="inlineStr">
        <is>
          <t>A1</t>
        </is>
      </c>
      <c r="T40" s="44" t="inlineStr">
        <is>
          <t>A1</t>
        </is>
      </c>
      <c r="U40" s="64" t="inlineStr">
        <is>
          <t>A1</t>
        </is>
      </c>
      <c r="V40" s="70" t="inlineStr">
        <is>
          <t>A1</t>
        </is>
      </c>
      <c r="W40" s="52" t="n">
        <v>10</v>
      </c>
      <c r="X40" s="15" t="n">
        <v>2</v>
      </c>
      <c r="Y40" s="15" t="n">
        <v>10</v>
      </c>
      <c r="Z40" s="15" t="n"/>
      <c r="AA40" s="25">
        <f>SUM(テーブル13[[#This Row],[Reading正答数（大問1）]:[Reading正答数（大問4）]])</f>
        <v/>
      </c>
      <c r="AB40" s="78">
        <f>テーブル13[[#This Row],[リーディング正答数]]/30</f>
        <v/>
      </c>
      <c r="AC40" s="52" t="n">
        <v>7</v>
      </c>
      <c r="AD40" s="15" t="n">
        <v>7</v>
      </c>
      <c r="AE40" s="15" t="n">
        <v>5</v>
      </c>
      <c r="AF40" s="25">
        <f>SUM(テーブル13[[#This Row],[Listening正答数（大問1）]:[Listening正答数（大問3）]])</f>
        <v/>
      </c>
      <c r="AG40" s="78">
        <f>テーブル13[[#This Row],[Listening正答数]]/30</f>
        <v/>
      </c>
      <c r="AH40" s="52" t="n">
        <v>3</v>
      </c>
      <c r="AI40" s="15" t="n"/>
      <c r="AJ40" s="15" t="n">
        <v>3</v>
      </c>
      <c r="AK40" s="15" t="n">
        <v>3</v>
      </c>
      <c r="AL40" s="15" t="n">
        <v>2</v>
      </c>
      <c r="AM40" s="15" t="n">
        <v>3</v>
      </c>
      <c r="AN40" s="15" t="n">
        <v>3</v>
      </c>
      <c r="AO40" s="15" t="n">
        <v>3</v>
      </c>
      <c r="AP40" s="25">
        <f>SUM(テーブル13[[#This Row],[Writing設問1スコア（内容）]:[Writing設問2スコア（文法）]])</f>
        <v/>
      </c>
      <c r="AQ40" s="89" t="n"/>
      <c r="AR40" s="39" t="n">
        <v>4</v>
      </c>
      <c r="AS40" s="15" t="n">
        <v>19</v>
      </c>
      <c r="AT40" s="15" t="n">
        <v>2</v>
      </c>
      <c r="AU40" s="26">
        <f>SUM(テーブル13[[#This Row],[Speaking得点（リーディング）]:[Speaking得点（アティチュード）]])</f>
        <v/>
      </c>
    </row>
    <row r="41" customFormat="1" s="27">
      <c r="A41" s="39" t="n">
        <v>2025</v>
      </c>
      <c r="B41" s="15" t="inlineStr">
        <is>
          <t>第2回</t>
        </is>
      </c>
      <c r="C41" s="15" t="inlineStr">
        <is>
          <t>3級</t>
        </is>
      </c>
      <c r="D41" s="15" t="inlineStr">
        <is>
          <t>高2</t>
        </is>
      </c>
      <c r="E41" s="15" t="inlineStr">
        <is>
          <t>若月 周</t>
        </is>
      </c>
      <c r="F41" s="15" t="inlineStr">
        <is>
          <t>無</t>
        </is>
      </c>
      <c r="G41" s="15" t="inlineStr">
        <is>
          <t>合格</t>
        </is>
      </c>
      <c r="H41" s="15" t="inlineStr">
        <is>
          <t>合格</t>
        </is>
      </c>
      <c r="I41" s="45" t="inlineStr">
        <is>
          <t>合格</t>
        </is>
      </c>
      <c r="J41" s="52" t="inlineStr">
        <is>
          <t>G3 +4</t>
        </is>
      </c>
      <c r="K41" s="44" t="inlineStr">
        <is>
          <t>G3 +4</t>
        </is>
      </c>
      <c r="L41" s="52" t="n">
        <v>403</v>
      </c>
      <c r="M41" s="15" t="n">
        <v>370</v>
      </c>
      <c r="N41" s="15" t="n">
        <v>413</v>
      </c>
      <c r="O41" s="101" t="n">
        <v>1186</v>
      </c>
      <c r="P41" s="52" t="n">
        <v>432</v>
      </c>
      <c r="Q41" s="104" t="n">
        <v>1618</v>
      </c>
      <c r="R41" s="52" t="inlineStr">
        <is>
          <t>A1</t>
        </is>
      </c>
      <c r="S41" s="15" t="inlineStr">
        <is>
          <t>A1</t>
        </is>
      </c>
      <c r="T41" s="44" t="inlineStr">
        <is>
          <t>A1</t>
        </is>
      </c>
      <c r="U41" s="64" t="inlineStr">
        <is>
          <t>A1</t>
        </is>
      </c>
      <c r="V41" s="70" t="inlineStr">
        <is>
          <t>A1</t>
        </is>
      </c>
      <c r="W41" s="52" t="n">
        <v>11</v>
      </c>
      <c r="X41" s="15" t="n">
        <v>5</v>
      </c>
      <c r="Y41" s="15" t="n">
        <v>7</v>
      </c>
      <c r="Z41" s="15" t="n"/>
      <c r="AA41" s="25">
        <f>SUM(テーブル13[[#This Row],[Reading正答数（大問1）]:[Reading正答数（大問4）]])</f>
        <v/>
      </c>
      <c r="AB41" s="78">
        <f>テーブル13[[#This Row],[リーディング正答数]]/30</f>
        <v/>
      </c>
      <c r="AC41" s="52" t="n">
        <v>7</v>
      </c>
      <c r="AD41" s="15" t="n">
        <v>8</v>
      </c>
      <c r="AE41" s="15" t="n">
        <v>7</v>
      </c>
      <c r="AF41" s="25">
        <f>SUM(テーブル13[[#This Row],[Listening正答数（大問1）]:[Listening正答数（大問3）]])</f>
        <v/>
      </c>
      <c r="AG41" s="78">
        <f>テーブル13[[#This Row],[Listening正答数]]/30</f>
        <v/>
      </c>
      <c r="AH41" s="52" t="n">
        <v>3</v>
      </c>
      <c r="AI41" s="15" t="n"/>
      <c r="AJ41" s="15" t="n">
        <v>3</v>
      </c>
      <c r="AK41" s="15" t="n">
        <v>2</v>
      </c>
      <c r="AL41" s="15" t="n">
        <v>3</v>
      </c>
      <c r="AM41" s="15" t="n">
        <v>3</v>
      </c>
      <c r="AN41" s="15" t="n">
        <v>3</v>
      </c>
      <c r="AO41" s="15" t="n">
        <v>3</v>
      </c>
      <c r="AP41" s="25">
        <f>SUM(テーブル13[[#This Row],[Writing設問1スコア（内容）]:[Writing設問2スコア（文法）]])</f>
        <v/>
      </c>
      <c r="AQ41" s="89" t="n"/>
      <c r="AR41" s="39" t="n">
        <v>5</v>
      </c>
      <c r="AS41" s="15" t="n">
        <v>24</v>
      </c>
      <c r="AT41" s="15" t="n">
        <v>2</v>
      </c>
      <c r="AU41" s="26">
        <f>SUM(テーブル13[[#This Row],[Speaking得点（リーディング）]:[Speaking得点（アティチュード）]])</f>
        <v/>
      </c>
    </row>
    <row r="42" customFormat="1" s="27">
      <c r="A42" s="39" t="n">
        <v>2025</v>
      </c>
      <c r="B42" s="15" t="inlineStr">
        <is>
          <t>第2回</t>
        </is>
      </c>
      <c r="C42" s="15" t="inlineStr">
        <is>
          <t>3級</t>
        </is>
      </c>
      <c r="D42" s="15" t="inlineStr">
        <is>
          <t>小6</t>
        </is>
      </c>
      <c r="E42" s="15" t="inlineStr">
        <is>
          <t>西村 悠</t>
        </is>
      </c>
      <c r="F42" s="15" t="inlineStr">
        <is>
          <t>無</t>
        </is>
      </c>
      <c r="G42" s="15" t="inlineStr">
        <is>
          <t>合格</t>
        </is>
      </c>
      <c r="H42" s="15" t="inlineStr">
        <is>
          <t>合格</t>
        </is>
      </c>
      <c r="I42" s="45" t="inlineStr">
        <is>
          <t>合格</t>
        </is>
      </c>
      <c r="J42" s="52" t="inlineStr">
        <is>
          <t>G3 +7</t>
        </is>
      </c>
      <c r="K42" s="44" t="inlineStr">
        <is>
          <t>G3 +3</t>
        </is>
      </c>
      <c r="L42" s="52" t="n">
        <v>434</v>
      </c>
      <c r="M42" s="15" t="n">
        <v>414</v>
      </c>
      <c r="N42" s="15" t="n">
        <v>413</v>
      </c>
      <c r="O42" s="101" t="n">
        <v>1261</v>
      </c>
      <c r="P42" s="52" t="n">
        <v>416</v>
      </c>
      <c r="Q42" s="104" t="n">
        <v>1677</v>
      </c>
      <c r="R42" s="52" t="inlineStr">
        <is>
          <t>A1</t>
        </is>
      </c>
      <c r="S42" s="15" t="inlineStr">
        <is>
          <t>A1</t>
        </is>
      </c>
      <c r="T42" s="44" t="inlineStr">
        <is>
          <t>A1</t>
        </is>
      </c>
      <c r="U42" s="64" t="inlineStr">
        <is>
          <t>A1</t>
        </is>
      </c>
      <c r="V42" s="70" t="inlineStr">
        <is>
          <t>A1</t>
        </is>
      </c>
      <c r="W42" s="52" t="n">
        <v>11</v>
      </c>
      <c r="X42" s="15" t="n">
        <v>5</v>
      </c>
      <c r="Y42" s="15" t="n">
        <v>10</v>
      </c>
      <c r="Z42" s="15" t="n"/>
      <c r="AA42" s="25">
        <f>SUM(テーブル13[[#This Row],[Reading正答数（大問1）]:[Reading正答数（大問4）]])</f>
        <v/>
      </c>
      <c r="AB42" s="78">
        <f>テーブル13[[#This Row],[リーディング正答数]]/30</f>
        <v/>
      </c>
      <c r="AC42" s="52" t="n">
        <v>8</v>
      </c>
      <c r="AD42" s="15" t="n">
        <v>10</v>
      </c>
      <c r="AE42" s="15" t="n">
        <v>8</v>
      </c>
      <c r="AF42" s="25">
        <f>SUM(テーブル13[[#This Row],[Listening正答数（大問1）]:[Listening正答数（大問3）]])</f>
        <v/>
      </c>
      <c r="AG42" s="78">
        <f>テーブル13[[#This Row],[Listening正答数]]/30</f>
        <v/>
      </c>
      <c r="AH42" s="52" t="n">
        <v>3</v>
      </c>
      <c r="AI42" s="15" t="n"/>
      <c r="AJ42" s="15" t="n">
        <v>3</v>
      </c>
      <c r="AK42" s="15" t="n">
        <v>2</v>
      </c>
      <c r="AL42" s="15" t="n">
        <v>3</v>
      </c>
      <c r="AM42" s="15" t="n">
        <v>4</v>
      </c>
      <c r="AN42" s="15" t="n">
        <v>3</v>
      </c>
      <c r="AO42" s="15" t="n">
        <v>2</v>
      </c>
      <c r="AP42" s="25">
        <f>SUM(テーブル13[[#This Row],[Writing設問1スコア（内容）]:[Writing設問2スコア（文法）]])</f>
        <v/>
      </c>
      <c r="AQ42" s="89" t="n"/>
      <c r="AR42" s="39" t="n">
        <v>5</v>
      </c>
      <c r="AS42" s="15" t="n">
        <v>23</v>
      </c>
      <c r="AT42" s="15" t="n">
        <v>2</v>
      </c>
      <c r="AU42" s="26">
        <f>SUM(テーブル13[[#This Row],[Speaking得点（リーディング）]:[Speaking得点（アティチュード）]])</f>
        <v/>
      </c>
    </row>
    <row r="43" ht="19.5" customHeight="1" s="107" thickBot="1">
      <c r="A43" s="40" t="n">
        <v>2025</v>
      </c>
      <c r="B43" s="16" t="inlineStr">
        <is>
          <t>第2回</t>
        </is>
      </c>
      <c r="C43" s="16" t="inlineStr">
        <is>
          <t>3級</t>
        </is>
      </c>
      <c r="D43" s="16" t="inlineStr">
        <is>
          <t>中2</t>
        </is>
      </c>
      <c r="E43" s="16" t="inlineStr">
        <is>
          <t>古川 菜奈世</t>
        </is>
      </c>
      <c r="F43" s="16" t="inlineStr">
        <is>
          <t>有</t>
        </is>
      </c>
      <c r="G43" s="16" t="inlineStr">
        <is>
          <t>一次免除</t>
        </is>
      </c>
      <c r="H43" s="16" t="inlineStr">
        <is>
          <t>合格</t>
        </is>
      </c>
      <c r="I43" s="46" t="inlineStr">
        <is>
          <t>合格</t>
        </is>
      </c>
      <c r="J43" s="53" t="inlineStr">
        <is>
          <t>G3 +4</t>
        </is>
      </c>
      <c r="K43" s="54" t="inlineStr">
        <is>
          <t>G3 +2</t>
        </is>
      </c>
      <c r="L43" s="53" t="n">
        <v>347</v>
      </c>
      <c r="M43" s="16" t="n">
        <v>383</v>
      </c>
      <c r="N43" s="16" t="n">
        <v>453</v>
      </c>
      <c r="O43" s="102" t="n">
        <v>1183</v>
      </c>
      <c r="P43" s="53" t="n">
        <v>383</v>
      </c>
      <c r="Q43" s="105" t="n">
        <v>1566</v>
      </c>
      <c r="R43" s="53" t="inlineStr">
        <is>
          <t>－</t>
        </is>
      </c>
      <c r="S43" s="16" t="inlineStr">
        <is>
          <t>A1</t>
        </is>
      </c>
      <c r="T43" s="54" t="inlineStr">
        <is>
          <t>A1</t>
        </is>
      </c>
      <c r="U43" s="65" t="inlineStr">
        <is>
          <t>A1</t>
        </is>
      </c>
      <c r="V43" s="71" t="inlineStr">
        <is>
          <t>A1</t>
        </is>
      </c>
      <c r="W43" s="53" t="n"/>
      <c r="X43" s="16" t="n"/>
      <c r="Y43" s="16" t="n"/>
      <c r="Z43" s="16" t="n"/>
      <c r="AA43" s="12" t="inlineStr">
        <is>
          <t>-</t>
        </is>
      </c>
      <c r="AB43" s="83" t="inlineStr">
        <is>
          <t>-</t>
        </is>
      </c>
      <c r="AC43" s="53" t="n"/>
      <c r="AD43" s="16" t="n"/>
      <c r="AE43" s="16" t="n"/>
      <c r="AF43" s="14" t="n"/>
      <c r="AG43" s="87" t="n"/>
      <c r="AH43" s="53" t="n"/>
      <c r="AI43" s="16" t="n"/>
      <c r="AJ43" s="16" t="n"/>
      <c r="AK43" s="16" t="n"/>
      <c r="AL43" s="16" t="n"/>
      <c r="AM43" s="16" t="n"/>
      <c r="AN43" s="16" t="n"/>
      <c r="AO43" s="16" t="n"/>
      <c r="AP43" s="12" t="inlineStr">
        <is>
          <t>-</t>
        </is>
      </c>
      <c r="AQ43" s="83" t="inlineStr">
        <is>
          <t>-</t>
        </is>
      </c>
      <c r="AR43" s="40" t="n">
        <v>3</v>
      </c>
      <c r="AS43" s="16" t="n">
        <v>21</v>
      </c>
      <c r="AT43" s="16" t="n">
        <v>2</v>
      </c>
      <c r="AU43" s="30">
        <f>SUM(テーブル13[[#This Row],[Speaking得点（リーディング）]:[Speaking得点（アティチュード）]])</f>
        <v/>
      </c>
    </row>
    <row r="44" ht="19.5" customFormat="1" customHeight="1" s="27" thickTop="1">
      <c r="A44" s="42" t="n">
        <v>2025</v>
      </c>
      <c r="B44" s="18" t="inlineStr">
        <is>
          <t>第1回</t>
        </is>
      </c>
      <c r="C44" s="18" t="inlineStr">
        <is>
          <t>4級</t>
        </is>
      </c>
      <c r="D44" s="18" t="inlineStr">
        <is>
          <t>小</t>
        </is>
      </c>
      <c r="E44" s="18" t="inlineStr">
        <is>
          <t>田村 茉奈</t>
        </is>
      </c>
      <c r="F44" s="18" t="inlineStr">
        <is>
          <t>無</t>
        </is>
      </c>
      <c r="G44" s="18" t="inlineStr">
        <is>
          <t>合格</t>
        </is>
      </c>
      <c r="H44" s="18" t="inlineStr">
        <is>
          <t>－</t>
        </is>
      </c>
      <c r="I44" s="48" t="n"/>
      <c r="J44" s="57" t="inlineStr">
        <is>
          <t>G4 +6</t>
        </is>
      </c>
      <c r="K44" s="58" t="inlineStr">
        <is>
          <t>－</t>
        </is>
      </c>
      <c r="L44" s="57" t="n">
        <v>370</v>
      </c>
      <c r="M44" s="18" t="n">
        <v>388</v>
      </c>
      <c r="N44" s="18" t="inlineStr">
        <is>
          <t>－</t>
        </is>
      </c>
      <c r="O44" s="58" t="n">
        <v>758</v>
      </c>
      <c r="P44" s="57" t="inlineStr">
        <is>
          <t>－</t>
        </is>
      </c>
      <c r="Q44" s="58" t="inlineStr">
        <is>
          <t>－</t>
        </is>
      </c>
      <c r="R44" s="57" t="inlineStr">
        <is>
          <t>*</t>
        </is>
      </c>
      <c r="S44" s="18" t="inlineStr">
        <is>
          <t>*</t>
        </is>
      </c>
      <c r="T44" s="58" t="inlineStr">
        <is>
          <t>*</t>
        </is>
      </c>
      <c r="U44" s="67" t="inlineStr">
        <is>
          <t>*</t>
        </is>
      </c>
      <c r="V44" s="73" t="inlineStr">
        <is>
          <t>*</t>
        </is>
      </c>
      <c r="W44" s="57" t="n">
        <v>8</v>
      </c>
      <c r="X44" s="18" t="n">
        <v>4</v>
      </c>
      <c r="Y44" s="18" t="n">
        <v>4</v>
      </c>
      <c r="Z44" s="18" t="n">
        <v>10</v>
      </c>
      <c r="AA44" s="34">
        <f>SUM(テーブル13[[#This Row],[Reading正答数（大問1）]:[Reading正答数（大問4）]])</f>
        <v/>
      </c>
      <c r="AB44" s="84">
        <f>テーブル13[[#This Row],[リーディング正答数]]/35</f>
        <v/>
      </c>
      <c r="AC44" s="57" t="n">
        <v>9</v>
      </c>
      <c r="AD44" s="18" t="n">
        <v>10</v>
      </c>
      <c r="AE44" s="18" t="n">
        <v>8</v>
      </c>
      <c r="AF44" s="25">
        <f>SUM(テーブル13[[#This Row],[Listening正答数（大問1）]:[Listening正答数（大問3）]])</f>
        <v/>
      </c>
      <c r="AG44" s="78">
        <f>テーブル13[[#This Row],[Listening正答数]]/30</f>
        <v/>
      </c>
      <c r="AH44" s="57" t="n"/>
      <c r="AI44" s="18" t="n"/>
      <c r="AJ44" s="18" t="n"/>
      <c r="AK44" s="18" t="n"/>
      <c r="AL44" s="18" t="n"/>
      <c r="AM44" s="18" t="n"/>
      <c r="AN44" s="18" t="n"/>
      <c r="AO44" s="18" t="n"/>
      <c r="AP44" s="34" t="n"/>
      <c r="AQ44" s="93" t="n"/>
      <c r="AR44" s="33" t="n"/>
      <c r="AS44" s="5" t="n"/>
      <c r="AT44" s="5" t="n"/>
      <c r="AU44" s="35" t="n"/>
    </row>
    <row r="45" customFormat="1" s="27">
      <c r="A45" s="39" t="n">
        <v>2025</v>
      </c>
      <c r="B45" s="15" t="inlineStr">
        <is>
          <t>第1回</t>
        </is>
      </c>
      <c r="C45" s="15" t="inlineStr">
        <is>
          <t>4級</t>
        </is>
      </c>
      <c r="D45" s="15" t="inlineStr">
        <is>
          <t>小6</t>
        </is>
      </c>
      <c r="E45" s="15" t="inlineStr">
        <is>
          <t>秋山 奏和</t>
        </is>
      </c>
      <c r="F45" s="15" t="inlineStr">
        <is>
          <t>無</t>
        </is>
      </c>
      <c r="G45" s="15" t="inlineStr">
        <is>
          <t>合格</t>
        </is>
      </c>
      <c r="H45" s="15" t="inlineStr">
        <is>
          <t>－</t>
        </is>
      </c>
      <c r="I45" s="45" t="n"/>
      <c r="J45" s="52" t="inlineStr">
        <is>
          <t>G4 +3</t>
        </is>
      </c>
      <c r="K45" s="44" t="inlineStr">
        <is>
          <t>－</t>
        </is>
      </c>
      <c r="L45" s="52" t="n">
        <v>345</v>
      </c>
      <c r="M45" s="15" t="n">
        <v>336</v>
      </c>
      <c r="N45" s="15" t="inlineStr">
        <is>
          <t>－</t>
        </is>
      </c>
      <c r="O45" s="44" t="n">
        <v>681</v>
      </c>
      <c r="P45" s="52" t="inlineStr">
        <is>
          <t>－</t>
        </is>
      </c>
      <c r="Q45" s="44" t="inlineStr">
        <is>
          <t>－</t>
        </is>
      </c>
      <c r="R45" s="52" t="inlineStr">
        <is>
          <t>*</t>
        </is>
      </c>
      <c r="S45" s="15" t="inlineStr">
        <is>
          <t>*</t>
        </is>
      </c>
      <c r="T45" s="44" t="inlineStr">
        <is>
          <t>*</t>
        </is>
      </c>
      <c r="U45" s="64" t="inlineStr">
        <is>
          <t>*</t>
        </is>
      </c>
      <c r="V45" s="70" t="inlineStr">
        <is>
          <t>*</t>
        </is>
      </c>
      <c r="W45" s="52" t="n">
        <v>8</v>
      </c>
      <c r="X45" s="15" t="n">
        <v>3</v>
      </c>
      <c r="Y45" s="15" t="n">
        <v>2</v>
      </c>
      <c r="Z45" s="15" t="n">
        <v>9</v>
      </c>
      <c r="AA45" s="25">
        <f>SUM(テーブル13[[#This Row],[Reading正答数（大問1）]:[Reading正答数（大問4）]])</f>
        <v/>
      </c>
      <c r="AB45" s="78">
        <f>テーブル13[[#This Row],[リーディング正答数]]/35</f>
        <v/>
      </c>
      <c r="AC45" s="52" t="n">
        <v>7</v>
      </c>
      <c r="AD45" s="15" t="n">
        <v>8</v>
      </c>
      <c r="AE45" s="15" t="n">
        <v>8</v>
      </c>
      <c r="AF45" s="25">
        <f>SUM(テーブル13[[#This Row],[Listening正答数（大問1）]:[Listening正答数（大問3）]])</f>
        <v/>
      </c>
      <c r="AG45" s="78">
        <f>テーブル13[[#This Row],[Listening正答数]]/30</f>
        <v/>
      </c>
      <c r="AH45" s="52" t="n"/>
      <c r="AI45" s="15" t="n"/>
      <c r="AJ45" s="15" t="n"/>
      <c r="AK45" s="15" t="n"/>
      <c r="AL45" s="15" t="n"/>
      <c r="AM45" s="15" t="n"/>
      <c r="AN45" s="15" t="n"/>
      <c r="AO45" s="15" t="n"/>
      <c r="AP45" s="25" t="n"/>
      <c r="AQ45" s="89" t="n"/>
      <c r="AR45" s="24" t="n"/>
      <c r="AS45" s="3" t="n"/>
      <c r="AT45" s="3" t="n"/>
      <c r="AU45" s="26" t="n"/>
    </row>
    <row r="46" customFormat="1" s="27">
      <c r="A46" s="39" t="n">
        <v>2025</v>
      </c>
      <c r="B46" s="15" t="inlineStr">
        <is>
          <t>第1回</t>
        </is>
      </c>
      <c r="C46" s="15" t="inlineStr">
        <is>
          <t>4級</t>
        </is>
      </c>
      <c r="D46" s="15" t="inlineStr">
        <is>
          <t>小5</t>
        </is>
      </c>
      <c r="E46" s="15" t="inlineStr">
        <is>
          <t>高橋 乃愛</t>
        </is>
      </c>
      <c r="F46" s="15" t="inlineStr">
        <is>
          <t>無</t>
        </is>
      </c>
      <c r="G46" s="15" t="inlineStr">
        <is>
          <t>合格</t>
        </is>
      </c>
      <c r="H46" s="15" t="inlineStr">
        <is>
          <t>－</t>
        </is>
      </c>
      <c r="I46" s="45" t="n"/>
      <c r="J46" s="52" t="inlineStr">
        <is>
          <t>G4 +4</t>
        </is>
      </c>
      <c r="K46" s="44" t="inlineStr">
        <is>
          <t>－</t>
        </is>
      </c>
      <c r="L46" s="52" t="n">
        <v>370</v>
      </c>
      <c r="M46" s="15" t="n">
        <v>336</v>
      </c>
      <c r="N46" s="15" t="inlineStr">
        <is>
          <t>－</t>
        </is>
      </c>
      <c r="O46" s="44" t="n">
        <v>706</v>
      </c>
      <c r="P46" s="52" t="inlineStr">
        <is>
          <t>－</t>
        </is>
      </c>
      <c r="Q46" s="44" t="inlineStr">
        <is>
          <t>－</t>
        </is>
      </c>
      <c r="R46" s="52" t="inlineStr">
        <is>
          <t>*</t>
        </is>
      </c>
      <c r="S46" s="15" t="inlineStr">
        <is>
          <t>*</t>
        </is>
      </c>
      <c r="T46" s="44" t="inlineStr">
        <is>
          <t>*</t>
        </is>
      </c>
      <c r="U46" s="64" t="inlineStr">
        <is>
          <t>*</t>
        </is>
      </c>
      <c r="V46" s="70" t="inlineStr">
        <is>
          <t>*</t>
        </is>
      </c>
      <c r="W46" s="52" t="n">
        <v>9</v>
      </c>
      <c r="X46" s="15" t="n">
        <v>3</v>
      </c>
      <c r="Y46" s="15" t="n">
        <v>5</v>
      </c>
      <c r="Z46" s="15" t="n">
        <v>9</v>
      </c>
      <c r="AA46" s="25">
        <f>SUM(テーブル13[[#This Row],[Reading正答数（大問1）]:[Reading正答数（大問4）]])</f>
        <v/>
      </c>
      <c r="AB46" s="78">
        <f>テーブル13[[#This Row],[リーディング正答数]]/35</f>
        <v/>
      </c>
      <c r="AC46" s="52" t="n">
        <v>8</v>
      </c>
      <c r="AD46" s="15" t="n">
        <v>9</v>
      </c>
      <c r="AE46" s="15" t="n">
        <v>6</v>
      </c>
      <c r="AF46" s="25">
        <f>SUM(テーブル13[[#This Row],[Listening正答数（大問1）]:[Listening正答数（大問3）]])</f>
        <v/>
      </c>
      <c r="AG46" s="78">
        <f>テーブル13[[#This Row],[Listening正答数]]/30</f>
        <v/>
      </c>
      <c r="AH46" s="52" t="n"/>
      <c r="AI46" s="15" t="n"/>
      <c r="AJ46" s="15" t="n"/>
      <c r="AK46" s="15" t="n"/>
      <c r="AL46" s="15" t="n"/>
      <c r="AM46" s="15" t="n"/>
      <c r="AN46" s="15" t="n"/>
      <c r="AO46" s="15" t="n"/>
      <c r="AP46" s="25" t="n"/>
      <c r="AQ46" s="89" t="n"/>
      <c r="AR46" s="24" t="n"/>
      <c r="AS46" s="3" t="n"/>
      <c r="AT46" s="3" t="n"/>
      <c r="AU46" s="26" t="n"/>
    </row>
    <row r="47" customFormat="1" s="27">
      <c r="A47" s="39" t="n">
        <v>2025</v>
      </c>
      <c r="B47" s="15" t="inlineStr">
        <is>
          <t>第1回</t>
        </is>
      </c>
      <c r="C47" s="15" t="inlineStr">
        <is>
          <t>4級</t>
        </is>
      </c>
      <c r="D47" s="15" t="inlineStr">
        <is>
          <t>中1</t>
        </is>
      </c>
      <c r="E47" s="15" t="inlineStr">
        <is>
          <t>島村 希良人</t>
        </is>
      </c>
      <c r="F47" s="15" t="inlineStr">
        <is>
          <t>無</t>
        </is>
      </c>
      <c r="G47" s="15" t="inlineStr">
        <is>
          <t>合格</t>
        </is>
      </c>
      <c r="H47" s="15" t="inlineStr">
        <is>
          <t>－</t>
        </is>
      </c>
      <c r="I47" s="45" t="n"/>
      <c r="J47" s="52" t="inlineStr">
        <is>
          <t>G4 +3</t>
        </is>
      </c>
      <c r="K47" s="44" t="inlineStr">
        <is>
          <t>－</t>
        </is>
      </c>
      <c r="L47" s="52" t="n">
        <v>393</v>
      </c>
      <c r="M47" s="15" t="n">
        <v>293</v>
      </c>
      <c r="N47" s="15" t="inlineStr">
        <is>
          <t>－</t>
        </is>
      </c>
      <c r="O47" s="44" t="n">
        <v>686</v>
      </c>
      <c r="P47" s="52" t="inlineStr">
        <is>
          <t>－</t>
        </is>
      </c>
      <c r="Q47" s="44" t="inlineStr">
        <is>
          <t>－</t>
        </is>
      </c>
      <c r="R47" s="52" t="inlineStr">
        <is>
          <t>*</t>
        </is>
      </c>
      <c r="S47" s="15" t="inlineStr">
        <is>
          <t>*</t>
        </is>
      </c>
      <c r="T47" s="44" t="inlineStr">
        <is>
          <t>*</t>
        </is>
      </c>
      <c r="U47" s="64" t="inlineStr">
        <is>
          <t>*</t>
        </is>
      </c>
      <c r="V47" s="70" t="inlineStr">
        <is>
          <t>*</t>
        </is>
      </c>
      <c r="W47" s="52" t="n">
        <v>10</v>
      </c>
      <c r="X47" s="15" t="n">
        <v>5</v>
      </c>
      <c r="Y47" s="15" t="n">
        <v>5</v>
      </c>
      <c r="Z47" s="15" t="n">
        <v>9</v>
      </c>
      <c r="AA47" s="25">
        <f>SUM(テーブル13[[#This Row],[Reading正答数（大問1）]:[Reading正答数（大問4）]])</f>
        <v/>
      </c>
      <c r="AB47" s="78">
        <f>テーブル13[[#This Row],[リーディング正答数]]/35</f>
        <v/>
      </c>
      <c r="AC47" s="52" t="n">
        <v>7</v>
      </c>
      <c r="AD47" s="15" t="n">
        <v>7</v>
      </c>
      <c r="AE47" s="15" t="n">
        <v>4</v>
      </c>
      <c r="AF47" s="25">
        <f>SUM(テーブル13[[#This Row],[Listening正答数（大問1）]:[Listening正答数（大問3）]])</f>
        <v/>
      </c>
      <c r="AG47" s="78">
        <f>テーブル13[[#This Row],[Listening正答数]]/30</f>
        <v/>
      </c>
      <c r="AH47" s="94" t="n"/>
      <c r="AI47" s="3" t="n"/>
      <c r="AJ47" s="3" t="n"/>
      <c r="AK47" s="3" t="n"/>
      <c r="AL47" s="3" t="n"/>
      <c r="AM47" s="3" t="n"/>
      <c r="AN47" s="3" t="n"/>
      <c r="AO47" s="3" t="n"/>
      <c r="AP47" s="25" t="n"/>
      <c r="AQ47" s="89" t="n"/>
      <c r="AR47" s="24" t="n"/>
      <c r="AS47" s="3" t="n"/>
      <c r="AT47" s="3" t="n"/>
      <c r="AU47" s="26" t="n"/>
    </row>
    <row r="48">
      <c r="A48" s="39" t="n">
        <v>2025</v>
      </c>
      <c r="B48" s="15" t="inlineStr">
        <is>
          <t>第1回</t>
        </is>
      </c>
      <c r="C48" s="15" t="inlineStr">
        <is>
          <t>4級</t>
        </is>
      </c>
      <c r="D48" s="15" t="inlineStr">
        <is>
          <t>小6</t>
        </is>
      </c>
      <c r="E48" s="15" t="inlineStr">
        <is>
          <t>日向 唯稀</t>
        </is>
      </c>
      <c r="F48" s="15" t="inlineStr">
        <is>
          <t>無</t>
        </is>
      </c>
      <c r="G48" s="15" t="inlineStr">
        <is>
          <t>不合格</t>
        </is>
      </c>
      <c r="H48" s="15" t="inlineStr">
        <is>
          <t>－</t>
        </is>
      </c>
      <c r="I48" s="45" t="n"/>
      <c r="J48" s="52" t="inlineStr">
        <is>
          <t>G4 -1</t>
        </is>
      </c>
      <c r="K48" s="44" t="inlineStr">
        <is>
          <t>－</t>
        </is>
      </c>
      <c r="L48" s="52" t="n">
        <v>334</v>
      </c>
      <c r="M48" s="15" t="n">
        <v>286</v>
      </c>
      <c r="N48" s="15" t="inlineStr">
        <is>
          <t>－</t>
        </is>
      </c>
      <c r="O48" s="44" t="n">
        <v>620</v>
      </c>
      <c r="P48" s="52" t="inlineStr">
        <is>
          <t>－</t>
        </is>
      </c>
      <c r="Q48" s="44" t="inlineStr">
        <is>
          <t>－</t>
        </is>
      </c>
      <c r="R48" s="52" t="inlineStr">
        <is>
          <t>*</t>
        </is>
      </c>
      <c r="S48" s="15" t="inlineStr">
        <is>
          <t>*</t>
        </is>
      </c>
      <c r="T48" s="44" t="inlineStr">
        <is>
          <t>*</t>
        </is>
      </c>
      <c r="U48" s="64" t="inlineStr">
        <is>
          <t>*</t>
        </is>
      </c>
      <c r="V48" s="70" t="inlineStr">
        <is>
          <t>*</t>
        </is>
      </c>
      <c r="W48" s="52" t="n">
        <v>6</v>
      </c>
      <c r="X48" s="15" t="n">
        <v>0</v>
      </c>
      <c r="Y48" s="15" t="n">
        <v>5</v>
      </c>
      <c r="Z48" s="15" t="n">
        <v>9</v>
      </c>
      <c r="AA48" s="10">
        <f>SUM(テーブル13[[#This Row],[Reading正答数（大問1）]:[Reading正答数（大問4）]])</f>
        <v/>
      </c>
      <c r="AB48" s="77">
        <f>テーブル13[[#This Row],[リーディング正答数]]/35</f>
        <v/>
      </c>
      <c r="AC48" s="52" t="n">
        <v>4</v>
      </c>
      <c r="AD48" s="15" t="n">
        <v>6</v>
      </c>
      <c r="AE48" s="15" t="n">
        <v>7</v>
      </c>
      <c r="AF48" s="10">
        <f>SUM(テーブル13[[#This Row],[Listening正答数（大問1）]:[Listening正答数（大問3）]])</f>
        <v/>
      </c>
      <c r="AG48" s="77">
        <f>テーブル13[[#This Row],[Listening正答数]]/30</f>
        <v/>
      </c>
      <c r="AH48" s="95" t="n"/>
      <c r="AI48" s="2" t="n"/>
      <c r="AJ48" s="2" t="n"/>
      <c r="AK48" s="2" t="n"/>
      <c r="AL48" s="2" t="n"/>
      <c r="AM48" s="2" t="n"/>
      <c r="AN48" s="2" t="n"/>
      <c r="AO48" s="2" t="n"/>
      <c r="AP48" s="10" t="n"/>
      <c r="AQ48" s="88" t="n"/>
      <c r="AR48" s="6" t="n"/>
      <c r="AS48" s="2" t="n"/>
      <c r="AT48" s="2" t="n"/>
      <c r="AU48" s="22" t="n"/>
    </row>
    <row r="49" customFormat="1" s="27">
      <c r="A49" s="39" t="n">
        <v>2025</v>
      </c>
      <c r="B49" s="15" t="inlineStr">
        <is>
          <t>第1回</t>
        </is>
      </c>
      <c r="C49" s="15" t="inlineStr">
        <is>
          <t>4級</t>
        </is>
      </c>
      <c r="D49" s="15" t="inlineStr">
        <is>
          <t>小6</t>
        </is>
      </c>
      <c r="E49" s="15" t="inlineStr">
        <is>
          <t>西村 悠</t>
        </is>
      </c>
      <c r="F49" s="15" t="inlineStr">
        <is>
          <t>無</t>
        </is>
      </c>
      <c r="G49" s="15" t="inlineStr">
        <is>
          <t>合格</t>
        </is>
      </c>
      <c r="H49" s="15" t="inlineStr">
        <is>
          <t>－</t>
        </is>
      </c>
      <c r="I49" s="45" t="n"/>
      <c r="J49" s="52" t="inlineStr">
        <is>
          <t>G4 +9</t>
        </is>
      </c>
      <c r="K49" s="44" t="inlineStr">
        <is>
          <t>－</t>
        </is>
      </c>
      <c r="L49" s="52" t="n">
        <v>477</v>
      </c>
      <c r="M49" s="15" t="n">
        <v>358</v>
      </c>
      <c r="N49" s="15" t="inlineStr">
        <is>
          <t>－</t>
        </is>
      </c>
      <c r="O49" s="44" t="n">
        <v>835</v>
      </c>
      <c r="P49" s="52" t="inlineStr">
        <is>
          <t>－</t>
        </is>
      </c>
      <c r="Q49" s="44" t="inlineStr">
        <is>
          <t>－</t>
        </is>
      </c>
      <c r="R49" s="52" t="inlineStr">
        <is>
          <t>*</t>
        </is>
      </c>
      <c r="S49" s="15" t="inlineStr">
        <is>
          <t>*</t>
        </is>
      </c>
      <c r="T49" s="44" t="inlineStr">
        <is>
          <t>*</t>
        </is>
      </c>
      <c r="U49" s="64" t="inlineStr">
        <is>
          <t>*</t>
        </is>
      </c>
      <c r="V49" s="70" t="inlineStr">
        <is>
          <t>*</t>
        </is>
      </c>
      <c r="W49" s="52" t="n">
        <v>14</v>
      </c>
      <c r="X49" s="15" t="n">
        <v>5</v>
      </c>
      <c r="Y49" s="15" t="n">
        <v>5</v>
      </c>
      <c r="Z49" s="15" t="n">
        <v>10</v>
      </c>
      <c r="AA49" s="25">
        <f>SUM(テーブル13[[#This Row],[Reading正答数（大問1）]:[Reading正答数（大問4）]])</f>
        <v/>
      </c>
      <c r="AB49" s="78">
        <f>テーブル13[[#This Row],[リーディング正答数]]/35</f>
        <v/>
      </c>
      <c r="AC49" s="52" t="n">
        <v>9</v>
      </c>
      <c r="AD49" s="15" t="n">
        <v>9</v>
      </c>
      <c r="AE49" s="15" t="n">
        <v>7</v>
      </c>
      <c r="AF49" s="25">
        <f>SUM(テーブル13[[#This Row],[Listening正答数（大問1）]:[Listening正答数（大問3）]])</f>
        <v/>
      </c>
      <c r="AG49" s="78">
        <f>テーブル13[[#This Row],[Listening正答数]]/30</f>
        <v/>
      </c>
      <c r="AH49" s="94" t="n"/>
      <c r="AI49" s="3" t="n"/>
      <c r="AJ49" s="3" t="n"/>
      <c r="AK49" s="3" t="n"/>
      <c r="AL49" s="3" t="n"/>
      <c r="AM49" s="3" t="n"/>
      <c r="AN49" s="3" t="n"/>
      <c r="AO49" s="3" t="n"/>
      <c r="AP49" s="25" t="n"/>
      <c r="AQ49" s="89" t="n"/>
      <c r="AR49" s="24" t="n"/>
      <c r="AS49" s="3" t="n"/>
      <c r="AT49" s="3" t="n"/>
      <c r="AU49" s="26" t="n"/>
    </row>
    <row r="50" customFormat="1" s="27">
      <c r="A50" s="39" t="n">
        <v>2025</v>
      </c>
      <c r="B50" s="15" t="inlineStr">
        <is>
          <t>第1回</t>
        </is>
      </c>
      <c r="C50" s="15" t="inlineStr">
        <is>
          <t>4級</t>
        </is>
      </c>
      <c r="D50" s="15" t="inlineStr">
        <is>
          <t>小6</t>
        </is>
      </c>
      <c r="E50" s="15" t="inlineStr">
        <is>
          <t>森 勇人</t>
        </is>
      </c>
      <c r="F50" s="15" t="inlineStr">
        <is>
          <t>無</t>
        </is>
      </c>
      <c r="G50" s="15" t="inlineStr">
        <is>
          <t>合格</t>
        </is>
      </c>
      <c r="H50" s="15" t="inlineStr">
        <is>
          <t>－</t>
        </is>
      </c>
      <c r="I50" s="45" t="n"/>
      <c r="J50" s="52" t="inlineStr">
        <is>
          <t>G4 +9</t>
        </is>
      </c>
      <c r="K50" s="44" t="inlineStr">
        <is>
          <t>－</t>
        </is>
      </c>
      <c r="L50" s="52" t="n">
        <v>447</v>
      </c>
      <c r="M50" s="15" t="n">
        <v>388</v>
      </c>
      <c r="N50" s="15" t="inlineStr">
        <is>
          <t>－</t>
        </is>
      </c>
      <c r="O50" s="44" t="n">
        <v>835</v>
      </c>
      <c r="P50" s="52" t="inlineStr">
        <is>
          <t>－</t>
        </is>
      </c>
      <c r="Q50" s="44" t="inlineStr">
        <is>
          <t>－</t>
        </is>
      </c>
      <c r="R50" s="52" t="inlineStr">
        <is>
          <t>*</t>
        </is>
      </c>
      <c r="S50" s="15" t="inlineStr">
        <is>
          <t>*</t>
        </is>
      </c>
      <c r="T50" s="44" t="inlineStr">
        <is>
          <t>*</t>
        </is>
      </c>
      <c r="U50" s="64" t="inlineStr">
        <is>
          <t>*</t>
        </is>
      </c>
      <c r="V50" s="70" t="inlineStr">
        <is>
          <t>*</t>
        </is>
      </c>
      <c r="W50" s="52" t="n">
        <v>13</v>
      </c>
      <c r="X50" s="15" t="n">
        <v>5</v>
      </c>
      <c r="Y50" s="15" t="n">
        <v>5</v>
      </c>
      <c r="Z50" s="15" t="n">
        <v>10</v>
      </c>
      <c r="AA50" s="25">
        <f>SUM(テーブル13[[#This Row],[Reading正答数（大問1）]:[Reading正答数（大問4）]])</f>
        <v/>
      </c>
      <c r="AB50" s="78">
        <f>テーブル13[[#This Row],[リーディング正答数]]/35</f>
        <v/>
      </c>
      <c r="AC50" s="52" t="n">
        <v>9</v>
      </c>
      <c r="AD50" s="15" t="n">
        <v>9</v>
      </c>
      <c r="AE50" s="15" t="n">
        <v>9</v>
      </c>
      <c r="AF50" s="25">
        <f>SUM(テーブル13[[#This Row],[Listening正答数（大問1）]:[Listening正答数（大問3）]])</f>
        <v/>
      </c>
      <c r="AG50" s="78">
        <f>テーブル13[[#This Row],[Listening正答数]]/30</f>
        <v/>
      </c>
      <c r="AH50" s="94" t="n"/>
      <c r="AI50" s="3" t="n"/>
      <c r="AJ50" s="3" t="n"/>
      <c r="AK50" s="3" t="n"/>
      <c r="AL50" s="3" t="n"/>
      <c r="AM50" s="3" t="n"/>
      <c r="AN50" s="3" t="n"/>
      <c r="AO50" s="3" t="n"/>
      <c r="AP50" s="25" t="n"/>
      <c r="AQ50" s="89" t="n"/>
      <c r="AR50" s="24" t="n"/>
      <c r="AS50" s="3" t="n"/>
      <c r="AT50" s="3" t="n"/>
      <c r="AU50" s="26" t="n"/>
    </row>
    <row r="51" customFormat="1" s="27">
      <c r="A51" s="39" t="n">
        <v>2025</v>
      </c>
      <c r="B51" s="15" t="inlineStr">
        <is>
          <t>第1回</t>
        </is>
      </c>
      <c r="C51" s="15" t="inlineStr">
        <is>
          <t>4級</t>
        </is>
      </c>
      <c r="D51" s="15" t="inlineStr">
        <is>
          <t>小6</t>
        </is>
      </c>
      <c r="E51" s="15" t="inlineStr">
        <is>
          <t>劉 美希</t>
        </is>
      </c>
      <c r="F51" s="15" t="inlineStr">
        <is>
          <t>無</t>
        </is>
      </c>
      <c r="G51" s="15" t="inlineStr">
        <is>
          <t>合格</t>
        </is>
      </c>
      <c r="H51" s="15" t="inlineStr">
        <is>
          <t>－</t>
        </is>
      </c>
      <c r="I51" s="45" t="n"/>
      <c r="J51" s="52" t="inlineStr">
        <is>
          <t>G4 +5</t>
        </is>
      </c>
      <c r="K51" s="44" t="inlineStr">
        <is>
          <t>－</t>
        </is>
      </c>
      <c r="L51" s="52" t="n">
        <v>393</v>
      </c>
      <c r="M51" s="15" t="n">
        <v>336</v>
      </c>
      <c r="N51" s="15" t="inlineStr">
        <is>
          <t>－</t>
        </is>
      </c>
      <c r="O51" s="44" t="n">
        <v>729</v>
      </c>
      <c r="P51" s="52" t="inlineStr">
        <is>
          <t>－</t>
        </is>
      </c>
      <c r="Q51" s="44" t="inlineStr">
        <is>
          <t>－</t>
        </is>
      </c>
      <c r="R51" s="52" t="inlineStr">
        <is>
          <t>*</t>
        </is>
      </c>
      <c r="S51" s="15" t="inlineStr">
        <is>
          <t>*</t>
        </is>
      </c>
      <c r="T51" s="44" t="inlineStr">
        <is>
          <t>*</t>
        </is>
      </c>
      <c r="U51" s="64" t="inlineStr">
        <is>
          <t>*</t>
        </is>
      </c>
      <c r="V51" s="70" t="inlineStr">
        <is>
          <t>*</t>
        </is>
      </c>
      <c r="W51" s="52" t="n">
        <v>11</v>
      </c>
      <c r="X51" s="15" t="n">
        <v>5</v>
      </c>
      <c r="Y51" s="15" t="n">
        <v>5</v>
      </c>
      <c r="Z51" s="15" t="n">
        <v>8</v>
      </c>
      <c r="AA51" s="25">
        <f>SUM(テーブル13[[#This Row],[Reading正答数（大問1）]:[Reading正答数（大問4）]])</f>
        <v/>
      </c>
      <c r="AB51" s="78">
        <f>テーブル13[[#This Row],[リーディング正答数]]/35</f>
        <v/>
      </c>
      <c r="AC51" s="52" t="n">
        <v>7</v>
      </c>
      <c r="AD51" s="15" t="n">
        <v>8</v>
      </c>
      <c r="AE51" s="15" t="n">
        <v>8</v>
      </c>
      <c r="AF51" s="25">
        <f>SUM(テーブル13[[#This Row],[Listening正答数（大問1）]:[Listening正答数（大問3）]])</f>
        <v/>
      </c>
      <c r="AG51" s="78">
        <f>テーブル13[[#This Row],[Listening正答数]]/30</f>
        <v/>
      </c>
      <c r="AH51" s="94" t="n"/>
      <c r="AI51" s="3" t="n"/>
      <c r="AJ51" s="3" t="n"/>
      <c r="AK51" s="3" t="n"/>
      <c r="AL51" s="3" t="n"/>
      <c r="AM51" s="3" t="n"/>
      <c r="AN51" s="3" t="n"/>
      <c r="AO51" s="3" t="n"/>
      <c r="AP51" s="25" t="n"/>
      <c r="AQ51" s="89" t="n"/>
      <c r="AR51" s="24" t="n"/>
      <c r="AS51" s="3" t="n"/>
      <c r="AT51" s="3" t="n"/>
      <c r="AU51" s="26" t="n"/>
    </row>
    <row r="52">
      <c r="A52" s="39" t="n">
        <v>2025</v>
      </c>
      <c r="B52" s="15" t="inlineStr">
        <is>
          <t>第1回</t>
        </is>
      </c>
      <c r="C52" s="15" t="inlineStr">
        <is>
          <t>4級</t>
        </is>
      </c>
      <c r="D52" s="15" t="inlineStr">
        <is>
          <t>中1</t>
        </is>
      </c>
      <c r="E52" s="15" t="inlineStr">
        <is>
          <t>古田 一路</t>
        </is>
      </c>
      <c r="F52" s="15" t="inlineStr">
        <is>
          <t>無</t>
        </is>
      </c>
      <c r="G52" s="15" t="inlineStr">
        <is>
          <t>不合格</t>
        </is>
      </c>
      <c r="H52" s="15" t="inlineStr">
        <is>
          <t>－</t>
        </is>
      </c>
      <c r="I52" s="45" t="n"/>
      <c r="J52" s="52" t="inlineStr">
        <is>
          <t>G4 -1</t>
        </is>
      </c>
      <c r="K52" s="44" t="inlineStr">
        <is>
          <t>－</t>
        </is>
      </c>
      <c r="L52" s="52" t="n">
        <v>318</v>
      </c>
      <c r="M52" s="15" t="n">
        <v>286</v>
      </c>
      <c r="N52" s="15" t="inlineStr">
        <is>
          <t>－</t>
        </is>
      </c>
      <c r="O52" s="44" t="n">
        <v>604</v>
      </c>
      <c r="P52" s="52" t="inlineStr">
        <is>
          <t>－</t>
        </is>
      </c>
      <c r="Q52" s="44" t="inlineStr">
        <is>
          <t>－</t>
        </is>
      </c>
      <c r="R52" s="52" t="inlineStr">
        <is>
          <t>*</t>
        </is>
      </c>
      <c r="S52" s="15" t="inlineStr">
        <is>
          <t>*</t>
        </is>
      </c>
      <c r="T52" s="44" t="inlineStr">
        <is>
          <t>*</t>
        </is>
      </c>
      <c r="U52" s="64" t="inlineStr">
        <is>
          <t>*</t>
        </is>
      </c>
      <c r="V52" s="70" t="inlineStr">
        <is>
          <t>*</t>
        </is>
      </c>
      <c r="W52" s="52" t="n">
        <v>4</v>
      </c>
      <c r="X52" s="15" t="n">
        <v>2</v>
      </c>
      <c r="Y52" s="15" t="n">
        <v>2</v>
      </c>
      <c r="Z52" s="15" t="n">
        <v>9</v>
      </c>
      <c r="AA52" s="10">
        <f>SUM(テーブル13[[#This Row],[Reading正答数（大問1）]:[Reading正答数（大問4）]])</f>
        <v/>
      </c>
      <c r="AB52" s="77">
        <f>テーブル13[[#This Row],[リーディング正答数]]/35</f>
        <v/>
      </c>
      <c r="AC52" s="52" t="n">
        <v>4</v>
      </c>
      <c r="AD52" s="15" t="n">
        <v>6</v>
      </c>
      <c r="AE52" s="15" t="n">
        <v>7</v>
      </c>
      <c r="AF52" s="10">
        <f>SUM(テーブル13[[#This Row],[Listening正答数（大問1）]:[Listening正答数（大問3）]])</f>
        <v/>
      </c>
      <c r="AG52" s="77">
        <f>テーブル13[[#This Row],[Listening正答数]]/30</f>
        <v/>
      </c>
      <c r="AH52" s="95" t="n"/>
      <c r="AI52" s="2" t="n"/>
      <c r="AJ52" s="2" t="n"/>
      <c r="AK52" s="2" t="n"/>
      <c r="AL52" s="2" t="n"/>
      <c r="AM52" s="2" t="n"/>
      <c r="AN52" s="2" t="n"/>
      <c r="AO52" s="2" t="n"/>
      <c r="AP52" s="10" t="n"/>
      <c r="AQ52" s="88" t="n"/>
      <c r="AR52" s="6" t="n"/>
      <c r="AS52" s="2" t="n"/>
      <c r="AT52" s="2" t="n"/>
      <c r="AU52" s="22" t="n"/>
    </row>
    <row r="53">
      <c r="A53" s="39" t="n">
        <v>2025</v>
      </c>
      <c r="B53" s="15" t="inlineStr">
        <is>
          <t>第2回</t>
        </is>
      </c>
      <c r="C53" s="15" t="inlineStr">
        <is>
          <t>4級</t>
        </is>
      </c>
      <c r="D53" s="15" t="inlineStr">
        <is>
          <t>小4</t>
        </is>
      </c>
      <c r="E53" s="15" t="inlineStr">
        <is>
          <t>山内 康士朗</t>
        </is>
      </c>
      <c r="F53" s="15" t="inlineStr">
        <is>
          <t>無</t>
        </is>
      </c>
      <c r="G53" s="15" t="inlineStr">
        <is>
          <t>不合格</t>
        </is>
      </c>
      <c r="H53" s="15" t="inlineStr">
        <is>
          <t>－</t>
        </is>
      </c>
      <c r="I53" s="45" t="n"/>
      <c r="J53" s="52" t="inlineStr">
        <is>
          <t>G4 -1</t>
        </is>
      </c>
      <c r="K53" s="44" t="inlineStr">
        <is>
          <t>－</t>
        </is>
      </c>
      <c r="L53" s="52" t="n">
        <v>318</v>
      </c>
      <c r="M53" s="15" t="n">
        <v>292</v>
      </c>
      <c r="N53" s="15" t="inlineStr">
        <is>
          <t>－</t>
        </is>
      </c>
      <c r="O53" s="44" t="n">
        <v>610</v>
      </c>
      <c r="P53" s="52" t="inlineStr">
        <is>
          <t>－</t>
        </is>
      </c>
      <c r="Q53" s="44" t="inlineStr">
        <is>
          <t>－</t>
        </is>
      </c>
      <c r="R53" s="52" t="inlineStr">
        <is>
          <t>*</t>
        </is>
      </c>
      <c r="S53" s="15" t="inlineStr">
        <is>
          <t>*</t>
        </is>
      </c>
      <c r="T53" s="44" t="inlineStr">
        <is>
          <t>*</t>
        </is>
      </c>
      <c r="U53" s="64" t="inlineStr">
        <is>
          <t>*</t>
        </is>
      </c>
      <c r="V53" s="70" t="inlineStr">
        <is>
          <t>*</t>
        </is>
      </c>
      <c r="W53" s="52" t="n">
        <v>7</v>
      </c>
      <c r="X53" s="15" t="n">
        <v>1</v>
      </c>
      <c r="Y53" s="15" t="n">
        <v>3</v>
      </c>
      <c r="Z53" s="15" t="n">
        <v>7</v>
      </c>
      <c r="AA53" s="10">
        <f>SUM(テーブル13[[#This Row],[Reading正答数（大問1）]:[Reading正答数（大問4）]])</f>
        <v/>
      </c>
      <c r="AB53" s="77">
        <f>テーブル13[[#This Row],[リーディング正答数]]/35</f>
        <v/>
      </c>
      <c r="AC53" s="52" t="n">
        <v>6</v>
      </c>
      <c r="AD53" s="15" t="n">
        <v>7</v>
      </c>
      <c r="AE53" s="15" t="n">
        <v>6</v>
      </c>
      <c r="AF53" s="10">
        <f>SUM(テーブル13[[#This Row],[Listening正答数（大問1）]:[Listening正答数（大問3）]])</f>
        <v/>
      </c>
      <c r="AG53" s="77">
        <f>テーブル13[[#This Row],[Listening正答数]]/30</f>
        <v/>
      </c>
      <c r="AH53" s="95" t="n"/>
      <c r="AI53" s="2" t="n"/>
      <c r="AJ53" s="2" t="n"/>
      <c r="AK53" s="2" t="n"/>
      <c r="AL53" s="2" t="n"/>
      <c r="AM53" s="2" t="n"/>
      <c r="AN53" s="2" t="n"/>
      <c r="AO53" s="2" t="n"/>
      <c r="AP53" s="10" t="n"/>
      <c r="AQ53" s="88" t="n"/>
      <c r="AR53" s="6" t="n"/>
      <c r="AS53" s="2" t="n"/>
      <c r="AT53" s="2" t="n"/>
      <c r="AU53" s="22" t="n"/>
    </row>
    <row r="54">
      <c r="A54" s="39" t="n">
        <v>2025</v>
      </c>
      <c r="B54" s="15" t="inlineStr">
        <is>
          <t>第2回</t>
        </is>
      </c>
      <c r="C54" s="15" t="inlineStr">
        <is>
          <t>4級</t>
        </is>
      </c>
      <c r="D54" s="15" t="inlineStr">
        <is>
          <t>小2</t>
        </is>
      </c>
      <c r="E54" s="15" t="inlineStr">
        <is>
          <t>栁川 奈那</t>
        </is>
      </c>
      <c r="F54" s="15" t="inlineStr">
        <is>
          <t>無</t>
        </is>
      </c>
      <c r="G54" s="15" t="inlineStr">
        <is>
          <t>不合格</t>
        </is>
      </c>
      <c r="H54" s="15" t="inlineStr">
        <is>
          <t>－</t>
        </is>
      </c>
      <c r="I54" s="45" t="n"/>
      <c r="J54" s="52" t="inlineStr">
        <is>
          <t>G4 -2</t>
        </is>
      </c>
      <c r="K54" s="44" t="inlineStr">
        <is>
          <t>－</t>
        </is>
      </c>
      <c r="L54" s="52" t="n">
        <v>296</v>
      </c>
      <c r="M54" s="15" t="n">
        <v>275</v>
      </c>
      <c r="N54" s="15" t="inlineStr">
        <is>
          <t>－</t>
        </is>
      </c>
      <c r="O54" s="44" t="n">
        <v>571</v>
      </c>
      <c r="P54" s="52" t="inlineStr">
        <is>
          <t>－</t>
        </is>
      </c>
      <c r="Q54" s="44" t="inlineStr">
        <is>
          <t>－</t>
        </is>
      </c>
      <c r="R54" s="52" t="inlineStr">
        <is>
          <t>*</t>
        </is>
      </c>
      <c r="S54" s="15" t="inlineStr">
        <is>
          <t>*</t>
        </is>
      </c>
      <c r="T54" s="44" t="inlineStr">
        <is>
          <t>*</t>
        </is>
      </c>
      <c r="U54" s="64" t="inlineStr">
        <is>
          <t>*</t>
        </is>
      </c>
      <c r="V54" s="70" t="inlineStr">
        <is>
          <t>*</t>
        </is>
      </c>
      <c r="W54" s="52" t="n">
        <v>4</v>
      </c>
      <c r="X54" s="15" t="n">
        <v>2</v>
      </c>
      <c r="Y54" s="15" t="n">
        <v>2</v>
      </c>
      <c r="Z54" s="15" t="n">
        <v>6</v>
      </c>
      <c r="AA54" s="10">
        <f>SUM(テーブル13[[#This Row],[Reading正答数（大問1）]:[Reading正答数（大問4）]])</f>
        <v/>
      </c>
      <c r="AB54" s="77">
        <f>テーブル13[[#This Row],[リーディング正答数]]/35</f>
        <v/>
      </c>
      <c r="AC54" s="52" t="n">
        <v>7</v>
      </c>
      <c r="AD54" s="15" t="n">
        <v>5</v>
      </c>
      <c r="AE54" s="15" t="n">
        <v>5</v>
      </c>
      <c r="AF54" s="10">
        <f>SUM(テーブル13[[#This Row],[Listening正答数（大問1）]:[Listening正答数（大問3）]])</f>
        <v/>
      </c>
      <c r="AG54" s="77">
        <f>テーブル13[[#This Row],[Listening正答数]]/30</f>
        <v/>
      </c>
      <c r="AH54" s="95" t="n"/>
      <c r="AI54" s="2" t="n"/>
      <c r="AJ54" s="2" t="n"/>
      <c r="AK54" s="2" t="n"/>
      <c r="AL54" s="2" t="n"/>
      <c r="AM54" s="2" t="n"/>
      <c r="AN54" s="2" t="n"/>
      <c r="AO54" s="2" t="n"/>
      <c r="AP54" s="10" t="n"/>
      <c r="AQ54" s="88" t="n"/>
      <c r="AR54" s="6" t="n"/>
      <c r="AS54" s="2" t="n"/>
      <c r="AT54" s="2" t="n"/>
      <c r="AU54" s="22" t="n"/>
    </row>
    <row r="55" customFormat="1" s="27">
      <c r="A55" s="39" t="n">
        <v>2025</v>
      </c>
      <c r="B55" s="15" t="inlineStr">
        <is>
          <t>第2回</t>
        </is>
      </c>
      <c r="C55" s="15" t="inlineStr">
        <is>
          <t>4級</t>
        </is>
      </c>
      <c r="D55" s="15" t="inlineStr">
        <is>
          <t>小4</t>
        </is>
      </c>
      <c r="E55" s="15" t="inlineStr">
        <is>
          <t>櫻井 杷花</t>
        </is>
      </c>
      <c r="F55" s="15" t="inlineStr">
        <is>
          <t>無</t>
        </is>
      </c>
      <c r="G55" s="15" t="inlineStr">
        <is>
          <t>合格</t>
        </is>
      </c>
      <c r="H55" s="15" t="inlineStr">
        <is>
          <t>－</t>
        </is>
      </c>
      <c r="I55" s="45" t="n"/>
      <c r="J55" s="52" t="inlineStr">
        <is>
          <t>G4 +1</t>
        </is>
      </c>
      <c r="K55" s="44" t="inlineStr">
        <is>
          <t>－</t>
        </is>
      </c>
      <c r="L55" s="52" t="n">
        <v>302</v>
      </c>
      <c r="M55" s="15" t="n">
        <v>320</v>
      </c>
      <c r="N55" s="15" t="inlineStr">
        <is>
          <t>－</t>
        </is>
      </c>
      <c r="O55" s="44" t="n">
        <v>622</v>
      </c>
      <c r="P55" s="52" t="inlineStr">
        <is>
          <t>－</t>
        </is>
      </c>
      <c r="Q55" s="44" t="inlineStr">
        <is>
          <t>－</t>
        </is>
      </c>
      <c r="R55" s="52" t="inlineStr">
        <is>
          <t>*</t>
        </is>
      </c>
      <c r="S55" s="15" t="inlineStr">
        <is>
          <t>*</t>
        </is>
      </c>
      <c r="T55" s="44" t="inlineStr">
        <is>
          <t>*</t>
        </is>
      </c>
      <c r="U55" s="64" t="inlineStr">
        <is>
          <t>*</t>
        </is>
      </c>
      <c r="V55" s="70" t="inlineStr">
        <is>
          <t>*</t>
        </is>
      </c>
      <c r="W55" s="52" t="n">
        <v>4</v>
      </c>
      <c r="X55" s="15" t="n">
        <v>2</v>
      </c>
      <c r="Y55" s="15" t="n">
        <v>2</v>
      </c>
      <c r="Z55" s="15" t="n">
        <v>7</v>
      </c>
      <c r="AA55" s="25">
        <f>SUM(テーブル13[[#This Row],[Reading正答数（大問1）]:[Reading正答数（大問4）]])</f>
        <v/>
      </c>
      <c r="AB55" s="78">
        <f>テーブル13[[#This Row],[リーディング正答数]]/35</f>
        <v/>
      </c>
      <c r="AC55" s="52" t="n">
        <v>7</v>
      </c>
      <c r="AD55" s="15" t="n">
        <v>7</v>
      </c>
      <c r="AE55" s="15" t="n">
        <v>8</v>
      </c>
      <c r="AF55" s="25">
        <f>SUM(テーブル13[[#This Row],[Listening正答数（大問1）]:[Listening正答数（大問3）]])</f>
        <v/>
      </c>
      <c r="AG55" s="78">
        <f>テーブル13[[#This Row],[Listening正答数]]/30</f>
        <v/>
      </c>
      <c r="AH55" s="94" t="n"/>
      <c r="AI55" s="3" t="n"/>
      <c r="AJ55" s="3" t="n"/>
      <c r="AK55" s="3" t="n"/>
      <c r="AL55" s="3" t="n"/>
      <c r="AM55" s="3" t="n"/>
      <c r="AN55" s="3" t="n"/>
      <c r="AO55" s="3" t="n"/>
      <c r="AP55" s="25" t="n"/>
      <c r="AQ55" s="89" t="n"/>
      <c r="AR55" s="24" t="n"/>
      <c r="AS55" s="3" t="n"/>
      <c r="AT55" s="3" t="n"/>
      <c r="AU55" s="26" t="n"/>
    </row>
    <row r="56" customFormat="1" s="27">
      <c r="A56" s="39" t="n">
        <v>2025</v>
      </c>
      <c r="B56" s="15" t="inlineStr">
        <is>
          <t>第2回</t>
        </is>
      </c>
      <c r="C56" s="15" t="inlineStr">
        <is>
          <t>4級</t>
        </is>
      </c>
      <c r="D56" s="15" t="inlineStr">
        <is>
          <t>小6</t>
        </is>
      </c>
      <c r="E56" s="15" t="inlineStr">
        <is>
          <t>五島 妃依里</t>
        </is>
      </c>
      <c r="F56" s="15" t="inlineStr">
        <is>
          <t>無</t>
        </is>
      </c>
      <c r="G56" s="15" t="inlineStr">
        <is>
          <t>合格</t>
        </is>
      </c>
      <c r="H56" s="15" t="inlineStr">
        <is>
          <t>－</t>
        </is>
      </c>
      <c r="I56" s="45" t="n"/>
      <c r="J56" s="52" t="inlineStr">
        <is>
          <t>G4 +3</t>
        </is>
      </c>
      <c r="K56" s="44" t="inlineStr">
        <is>
          <t>－</t>
        </is>
      </c>
      <c r="L56" s="52" t="n">
        <v>329</v>
      </c>
      <c r="M56" s="15" t="n">
        <v>352</v>
      </c>
      <c r="N56" s="15" t="inlineStr">
        <is>
          <t>－</t>
        </is>
      </c>
      <c r="O56" s="44" t="n">
        <v>681</v>
      </c>
      <c r="P56" s="52" t="inlineStr">
        <is>
          <t>－</t>
        </is>
      </c>
      <c r="Q56" s="44" t="inlineStr">
        <is>
          <t>－</t>
        </is>
      </c>
      <c r="R56" s="52" t="inlineStr">
        <is>
          <t>*</t>
        </is>
      </c>
      <c r="S56" s="15" t="inlineStr">
        <is>
          <t>*</t>
        </is>
      </c>
      <c r="T56" s="44" t="inlineStr">
        <is>
          <t>*</t>
        </is>
      </c>
      <c r="U56" s="64" t="inlineStr">
        <is>
          <t>*</t>
        </is>
      </c>
      <c r="V56" s="70" t="inlineStr">
        <is>
          <t>*</t>
        </is>
      </c>
      <c r="W56" s="52" t="n">
        <v>7</v>
      </c>
      <c r="X56" s="15" t="n">
        <v>2</v>
      </c>
      <c r="Y56" s="15" t="n">
        <v>2</v>
      </c>
      <c r="Z56" s="15" t="n">
        <v>9</v>
      </c>
      <c r="AA56" s="25">
        <f>SUM(テーブル13[[#This Row],[Reading正答数（大問1）]:[Reading正答数（大問4）]])</f>
        <v/>
      </c>
      <c r="AB56" s="78">
        <f>テーブル13[[#This Row],[リーディング正答数]]/35</f>
        <v/>
      </c>
      <c r="AC56" s="52" t="n">
        <v>9</v>
      </c>
      <c r="AD56" s="15" t="n">
        <v>8</v>
      </c>
      <c r="AE56" s="15" t="n">
        <v>8</v>
      </c>
      <c r="AF56" s="25">
        <f>SUM(テーブル13[[#This Row],[Listening正答数（大問1）]:[Listening正答数（大問3）]])</f>
        <v/>
      </c>
      <c r="AG56" s="78">
        <f>テーブル13[[#This Row],[Listening正答数]]/30</f>
        <v/>
      </c>
      <c r="AH56" s="94" t="n"/>
      <c r="AI56" s="3" t="n"/>
      <c r="AJ56" s="3" t="n"/>
      <c r="AK56" s="3" t="n"/>
      <c r="AL56" s="3" t="n"/>
      <c r="AM56" s="3" t="n"/>
      <c r="AN56" s="3" t="n"/>
      <c r="AO56" s="3" t="n"/>
      <c r="AP56" s="25" t="n"/>
      <c r="AQ56" s="89" t="n"/>
      <c r="AR56" s="24" t="n"/>
      <c r="AS56" s="3" t="n"/>
      <c r="AT56" s="3" t="n"/>
      <c r="AU56" s="26" t="n"/>
    </row>
    <row r="57" customFormat="1" s="27">
      <c r="A57" s="39" t="n">
        <v>2025</v>
      </c>
      <c r="B57" s="15" t="inlineStr">
        <is>
          <t>第2回</t>
        </is>
      </c>
      <c r="C57" s="15" t="inlineStr">
        <is>
          <t>4級</t>
        </is>
      </c>
      <c r="D57" s="15" t="inlineStr">
        <is>
          <t>小6</t>
        </is>
      </c>
      <c r="E57" s="15" t="inlineStr">
        <is>
          <t>小坂 望結</t>
        </is>
      </c>
      <c r="F57" s="15" t="inlineStr">
        <is>
          <t>無</t>
        </is>
      </c>
      <c r="G57" s="15" t="inlineStr">
        <is>
          <t>合格</t>
        </is>
      </c>
      <c r="H57" s="15" t="inlineStr">
        <is>
          <t>－</t>
        </is>
      </c>
      <c r="I57" s="45" t="n"/>
      <c r="J57" s="52" t="inlineStr">
        <is>
          <t>G4 +2</t>
        </is>
      </c>
      <c r="K57" s="44" t="inlineStr">
        <is>
          <t>－</t>
        </is>
      </c>
      <c r="L57" s="52" t="n">
        <v>334</v>
      </c>
      <c r="M57" s="15" t="n">
        <v>330</v>
      </c>
      <c r="N57" s="15" t="inlineStr">
        <is>
          <t>－</t>
        </is>
      </c>
      <c r="O57" s="44" t="n">
        <v>664</v>
      </c>
      <c r="P57" s="52" t="inlineStr">
        <is>
          <t>－</t>
        </is>
      </c>
      <c r="Q57" s="44" t="inlineStr">
        <is>
          <t>－</t>
        </is>
      </c>
      <c r="R57" s="52" t="inlineStr">
        <is>
          <t>*</t>
        </is>
      </c>
      <c r="S57" s="15" t="inlineStr">
        <is>
          <t>*</t>
        </is>
      </c>
      <c r="T57" s="44" t="inlineStr">
        <is>
          <t>*</t>
        </is>
      </c>
      <c r="U57" s="64" t="inlineStr">
        <is>
          <t>*</t>
        </is>
      </c>
      <c r="V57" s="70" t="inlineStr">
        <is>
          <t>*</t>
        </is>
      </c>
      <c r="W57" s="52" t="n">
        <v>5</v>
      </c>
      <c r="X57" s="15" t="n">
        <v>3</v>
      </c>
      <c r="Y57" s="15" t="n">
        <v>4</v>
      </c>
      <c r="Z57" s="15" t="n">
        <v>9</v>
      </c>
      <c r="AA57" s="25">
        <f>SUM(テーブル13[[#This Row],[Reading正答数（大問1）]:[Reading正答数（大問4）]])</f>
        <v/>
      </c>
      <c r="AB57" s="78">
        <f>テーブル13[[#This Row],[リーディング正答数]]/35</f>
        <v/>
      </c>
      <c r="AC57" s="52" t="n">
        <v>7</v>
      </c>
      <c r="AD57" s="15" t="n">
        <v>7</v>
      </c>
      <c r="AE57" s="15" t="n">
        <v>9</v>
      </c>
      <c r="AF57" s="25">
        <f>SUM(テーブル13[[#This Row],[Listening正答数（大問1）]:[Listening正答数（大問3）]])</f>
        <v/>
      </c>
      <c r="AG57" s="78">
        <f>テーブル13[[#This Row],[Listening正答数]]/30</f>
        <v/>
      </c>
      <c r="AH57" s="94" t="n"/>
      <c r="AI57" s="3" t="n"/>
      <c r="AJ57" s="3" t="n"/>
      <c r="AK57" s="3" t="n"/>
      <c r="AL57" s="3" t="n"/>
      <c r="AM57" s="3" t="n"/>
      <c r="AN57" s="3" t="n"/>
      <c r="AO57" s="3" t="n"/>
      <c r="AP57" s="25" t="n"/>
      <c r="AQ57" s="89" t="n"/>
      <c r="AR57" s="24" t="n"/>
      <c r="AS57" s="3" t="n"/>
      <c r="AT57" s="3" t="n"/>
      <c r="AU57" s="26" t="n"/>
    </row>
    <row r="58" customFormat="1" s="27">
      <c r="A58" s="39" t="n">
        <v>2025</v>
      </c>
      <c r="B58" s="15" t="inlineStr">
        <is>
          <t>第2回</t>
        </is>
      </c>
      <c r="C58" s="15" t="inlineStr">
        <is>
          <t>4級</t>
        </is>
      </c>
      <c r="D58" s="15" t="inlineStr">
        <is>
          <t>小6</t>
        </is>
      </c>
      <c r="E58" s="15" t="inlineStr">
        <is>
          <t>伊川 朝陽</t>
        </is>
      </c>
      <c r="F58" s="15" t="inlineStr">
        <is>
          <t>無</t>
        </is>
      </c>
      <c r="G58" s="15" t="inlineStr">
        <is>
          <t>合格</t>
        </is>
      </c>
      <c r="H58" s="15" t="inlineStr">
        <is>
          <t>－</t>
        </is>
      </c>
      <c r="I58" s="45" t="n"/>
      <c r="J58" s="52" t="inlineStr">
        <is>
          <t>G4 +1</t>
        </is>
      </c>
      <c r="K58" s="44" t="inlineStr">
        <is>
          <t>－</t>
        </is>
      </c>
      <c r="L58" s="52" t="n">
        <v>323</v>
      </c>
      <c r="M58" s="15" t="n">
        <v>320</v>
      </c>
      <c r="N58" s="15" t="inlineStr">
        <is>
          <t>－</t>
        </is>
      </c>
      <c r="O58" s="44" t="n">
        <v>643</v>
      </c>
      <c r="P58" s="52" t="inlineStr">
        <is>
          <t>－</t>
        </is>
      </c>
      <c r="Q58" s="44" t="inlineStr">
        <is>
          <t>－</t>
        </is>
      </c>
      <c r="R58" s="52" t="inlineStr">
        <is>
          <t>*</t>
        </is>
      </c>
      <c r="S58" s="15" t="inlineStr">
        <is>
          <t>*</t>
        </is>
      </c>
      <c r="T58" s="44" t="inlineStr">
        <is>
          <t>*</t>
        </is>
      </c>
      <c r="U58" s="64" t="inlineStr">
        <is>
          <t>*</t>
        </is>
      </c>
      <c r="V58" s="70" t="inlineStr">
        <is>
          <t>*</t>
        </is>
      </c>
      <c r="W58" s="52" t="n">
        <v>9</v>
      </c>
      <c r="X58" s="15" t="n">
        <v>3</v>
      </c>
      <c r="Y58" s="15" t="n">
        <v>2</v>
      </c>
      <c r="Z58" s="15" t="n">
        <v>5</v>
      </c>
      <c r="AA58" s="25">
        <f>SUM(テーブル13[[#This Row],[Reading正答数（大問1）]:[Reading正答数（大問4）]])</f>
        <v/>
      </c>
      <c r="AB58" s="78">
        <f>テーブル13[[#This Row],[リーディング正答数]]/35</f>
        <v/>
      </c>
      <c r="AC58" s="52" t="n">
        <v>6</v>
      </c>
      <c r="AD58" s="15" t="n">
        <v>7</v>
      </c>
      <c r="AE58" s="15" t="n">
        <v>9</v>
      </c>
      <c r="AF58" s="25">
        <f>SUM(テーブル13[[#This Row],[Listening正答数（大問1）]:[Listening正答数（大問3）]])</f>
        <v/>
      </c>
      <c r="AG58" s="78">
        <f>テーブル13[[#This Row],[Listening正答数]]/30</f>
        <v/>
      </c>
      <c r="AH58" s="94" t="n"/>
      <c r="AI58" s="3" t="n"/>
      <c r="AJ58" s="3" t="n"/>
      <c r="AK58" s="3" t="n"/>
      <c r="AL58" s="3" t="n"/>
      <c r="AM58" s="3" t="n"/>
      <c r="AN58" s="3" t="n"/>
      <c r="AO58" s="3" t="n"/>
      <c r="AP58" s="25" t="n"/>
      <c r="AQ58" s="89" t="n"/>
      <c r="AR58" s="24" t="n"/>
      <c r="AS58" s="3" t="n"/>
      <c r="AT58" s="3" t="n"/>
      <c r="AU58" s="26" t="n"/>
    </row>
    <row r="59">
      <c r="A59" s="39" t="n">
        <v>2025</v>
      </c>
      <c r="B59" s="15" t="inlineStr">
        <is>
          <t>第2回</t>
        </is>
      </c>
      <c r="C59" s="15" t="inlineStr">
        <is>
          <t>4級</t>
        </is>
      </c>
      <c r="D59" s="15" t="inlineStr">
        <is>
          <t>中2</t>
        </is>
      </c>
      <c r="E59" s="15" t="inlineStr">
        <is>
          <t>正木 ゆあ</t>
        </is>
      </c>
      <c r="F59" s="15" t="inlineStr">
        <is>
          <t>無</t>
        </is>
      </c>
      <c r="G59" s="15" t="inlineStr">
        <is>
          <t>不合格</t>
        </is>
      </c>
      <c r="H59" s="15" t="inlineStr">
        <is>
          <t>－</t>
        </is>
      </c>
      <c r="I59" s="45" t="n"/>
      <c r="J59" s="52" t="inlineStr">
        <is>
          <t>G4 -1</t>
        </is>
      </c>
      <c r="K59" s="44" t="inlineStr">
        <is>
          <t>－</t>
        </is>
      </c>
      <c r="L59" s="52" t="n">
        <v>323</v>
      </c>
      <c r="M59" s="15" t="n">
        <v>292</v>
      </c>
      <c r="N59" s="15" t="inlineStr">
        <is>
          <t>－</t>
        </is>
      </c>
      <c r="O59" s="44" t="n">
        <v>615</v>
      </c>
      <c r="P59" s="52" t="inlineStr">
        <is>
          <t>－</t>
        </is>
      </c>
      <c r="Q59" s="44" t="inlineStr">
        <is>
          <t>－</t>
        </is>
      </c>
      <c r="R59" s="52" t="inlineStr">
        <is>
          <t>*</t>
        </is>
      </c>
      <c r="S59" s="15" t="inlineStr">
        <is>
          <t>*</t>
        </is>
      </c>
      <c r="T59" s="44" t="inlineStr">
        <is>
          <t>*</t>
        </is>
      </c>
      <c r="U59" s="64" t="inlineStr">
        <is>
          <t>*</t>
        </is>
      </c>
      <c r="V59" s="70" t="inlineStr">
        <is>
          <t>*</t>
        </is>
      </c>
      <c r="W59" s="52" t="n">
        <v>7</v>
      </c>
      <c r="X59" s="15" t="n">
        <v>2</v>
      </c>
      <c r="Y59" s="15" t="n">
        <v>2</v>
      </c>
      <c r="Z59" s="15" t="n">
        <v>8</v>
      </c>
      <c r="AA59" s="10">
        <f>SUM(テーブル13[[#This Row],[Reading正答数（大問1）]:[Reading正答数（大問4）]])</f>
        <v/>
      </c>
      <c r="AB59" s="77">
        <f>テーブル13[[#This Row],[リーディング正答数]]/35</f>
        <v/>
      </c>
      <c r="AC59" s="52" t="n">
        <v>7</v>
      </c>
      <c r="AD59" s="15" t="n">
        <v>5</v>
      </c>
      <c r="AE59" s="15" t="n">
        <v>7</v>
      </c>
      <c r="AF59" s="10">
        <f>SUM(テーブル13[[#This Row],[Listening正答数（大問1）]:[Listening正答数（大問3）]])</f>
        <v/>
      </c>
      <c r="AG59" s="77">
        <f>テーブル13[[#This Row],[Listening正答数]]/30</f>
        <v/>
      </c>
      <c r="AH59" s="95" t="n"/>
      <c r="AI59" s="2" t="n"/>
      <c r="AJ59" s="2" t="n"/>
      <c r="AK59" s="2" t="n"/>
      <c r="AL59" s="2" t="n"/>
      <c r="AM59" s="2" t="n"/>
      <c r="AN59" s="2" t="n"/>
      <c r="AO59" s="2" t="n"/>
      <c r="AP59" s="10" t="n"/>
      <c r="AQ59" s="88" t="n"/>
      <c r="AR59" s="6" t="n"/>
      <c r="AS59" s="2" t="n"/>
      <c r="AT59" s="2" t="n"/>
      <c r="AU59" s="22" t="n"/>
    </row>
    <row r="60" customFormat="1" s="27">
      <c r="A60" s="39" t="n">
        <v>2025</v>
      </c>
      <c r="B60" s="15" t="inlineStr">
        <is>
          <t>第2回</t>
        </is>
      </c>
      <c r="C60" s="15" t="inlineStr">
        <is>
          <t>4級</t>
        </is>
      </c>
      <c r="D60" s="15" t="inlineStr">
        <is>
          <t>小6</t>
        </is>
      </c>
      <c r="E60" s="15" t="inlineStr">
        <is>
          <t>日向 唯稀</t>
        </is>
      </c>
      <c r="F60" s="15" t="inlineStr">
        <is>
          <t>無</t>
        </is>
      </c>
      <c r="G60" s="15" t="inlineStr">
        <is>
          <t>合格</t>
        </is>
      </c>
      <c r="H60" s="15" t="inlineStr">
        <is>
          <t>－</t>
        </is>
      </c>
      <c r="I60" s="45" t="n"/>
      <c r="J60" s="52" t="inlineStr">
        <is>
          <t>G4 +3</t>
        </is>
      </c>
      <c r="K60" s="44" t="inlineStr">
        <is>
          <t>－</t>
        </is>
      </c>
      <c r="L60" s="52" t="n">
        <v>358</v>
      </c>
      <c r="M60" s="15" t="n">
        <v>330</v>
      </c>
      <c r="N60" s="15" t="inlineStr">
        <is>
          <t>－</t>
        </is>
      </c>
      <c r="O60" s="44" t="n">
        <v>688</v>
      </c>
      <c r="P60" s="52" t="inlineStr">
        <is>
          <t>－</t>
        </is>
      </c>
      <c r="Q60" s="44" t="inlineStr">
        <is>
          <t>－</t>
        </is>
      </c>
      <c r="R60" s="52" t="inlineStr">
        <is>
          <t>*</t>
        </is>
      </c>
      <c r="S60" s="15" t="inlineStr">
        <is>
          <t>*</t>
        </is>
      </c>
      <c r="T60" s="44" t="inlineStr">
        <is>
          <t>*</t>
        </is>
      </c>
      <c r="U60" s="64" t="inlineStr">
        <is>
          <t>*</t>
        </is>
      </c>
      <c r="V60" s="70" t="inlineStr">
        <is>
          <t>*</t>
        </is>
      </c>
      <c r="W60" s="52" t="n">
        <v>9</v>
      </c>
      <c r="X60" s="15" t="n">
        <v>3</v>
      </c>
      <c r="Y60" s="15" t="n">
        <v>4</v>
      </c>
      <c r="Z60" s="15" t="n">
        <v>9</v>
      </c>
      <c r="AA60" s="25">
        <f>SUM(テーブル13[[#This Row],[Reading正答数（大問1）]:[Reading正答数（大問4）]])</f>
        <v/>
      </c>
      <c r="AB60" s="78">
        <f>テーブル13[[#This Row],[リーディング正答数]]/35</f>
        <v/>
      </c>
      <c r="AC60" s="52" t="n">
        <v>7</v>
      </c>
      <c r="AD60" s="15" t="n">
        <v>7</v>
      </c>
      <c r="AE60" s="15" t="n">
        <v>9</v>
      </c>
      <c r="AF60" s="25">
        <f>SUM(テーブル13[[#This Row],[Listening正答数（大問1）]:[Listening正答数（大問3）]])</f>
        <v/>
      </c>
      <c r="AG60" s="78">
        <f>テーブル13[[#This Row],[Listening正答数]]/30</f>
        <v/>
      </c>
      <c r="AH60" s="94" t="n"/>
      <c r="AI60" s="3" t="n"/>
      <c r="AJ60" s="3" t="n"/>
      <c r="AK60" s="3" t="n"/>
      <c r="AL60" s="3" t="n"/>
      <c r="AM60" s="3" t="n"/>
      <c r="AN60" s="3" t="n"/>
      <c r="AO60" s="3" t="n"/>
      <c r="AP60" s="25" t="n"/>
      <c r="AQ60" s="89" t="n"/>
      <c r="AR60" s="24" t="n"/>
      <c r="AS60" s="3" t="n"/>
      <c r="AT60" s="3" t="n"/>
      <c r="AU60" s="26" t="n"/>
    </row>
    <row r="61" customFormat="1" s="27">
      <c r="A61" s="39" t="n">
        <v>2025</v>
      </c>
      <c r="B61" s="15" t="inlineStr">
        <is>
          <t>第2回</t>
        </is>
      </c>
      <c r="C61" s="15" t="inlineStr">
        <is>
          <t>4級</t>
        </is>
      </c>
      <c r="D61" s="15" t="inlineStr">
        <is>
          <t>中1</t>
        </is>
      </c>
      <c r="E61" s="15" t="inlineStr">
        <is>
          <t>石澤 憲人</t>
        </is>
      </c>
      <c r="F61" s="15" t="inlineStr">
        <is>
          <t>無</t>
        </is>
      </c>
      <c r="G61" s="15" t="inlineStr">
        <is>
          <t>合格</t>
        </is>
      </c>
      <c r="H61" s="15" t="inlineStr">
        <is>
          <t>－</t>
        </is>
      </c>
      <c r="I61" s="45" t="n"/>
      <c r="J61" s="52" t="inlineStr">
        <is>
          <t>G4 +3</t>
        </is>
      </c>
      <c r="K61" s="44" t="inlineStr">
        <is>
          <t>－</t>
        </is>
      </c>
      <c r="L61" s="52" t="n">
        <v>346</v>
      </c>
      <c r="M61" s="15" t="n">
        <v>352</v>
      </c>
      <c r="N61" s="15" t="inlineStr">
        <is>
          <t>－</t>
        </is>
      </c>
      <c r="O61" s="44" t="n">
        <v>698</v>
      </c>
      <c r="P61" s="52" t="inlineStr">
        <is>
          <t>－</t>
        </is>
      </c>
      <c r="Q61" s="44" t="inlineStr">
        <is>
          <t>－</t>
        </is>
      </c>
      <c r="R61" s="52" t="inlineStr">
        <is>
          <t>*</t>
        </is>
      </c>
      <c r="S61" s="15" t="inlineStr">
        <is>
          <t>*</t>
        </is>
      </c>
      <c r="T61" s="44" t="inlineStr">
        <is>
          <t>*</t>
        </is>
      </c>
      <c r="U61" s="64" t="inlineStr">
        <is>
          <t>*</t>
        </is>
      </c>
      <c r="V61" s="70" t="inlineStr">
        <is>
          <t>*</t>
        </is>
      </c>
      <c r="W61" s="52" t="n">
        <v>6</v>
      </c>
      <c r="X61" s="15" t="n">
        <v>4</v>
      </c>
      <c r="Y61" s="15" t="n">
        <v>5</v>
      </c>
      <c r="Z61" s="15" t="n">
        <v>8</v>
      </c>
      <c r="AA61" s="25">
        <f>SUM(テーブル13[[#This Row],[Reading正答数（大問1）]:[Reading正答数（大問4）]])</f>
        <v/>
      </c>
      <c r="AB61" s="78">
        <f>テーブル13[[#This Row],[リーディング正答数]]/35</f>
        <v/>
      </c>
      <c r="AC61" s="52" t="n">
        <v>8</v>
      </c>
      <c r="AD61" s="15" t="n">
        <v>9</v>
      </c>
      <c r="AE61" s="15" t="n">
        <v>8</v>
      </c>
      <c r="AF61" s="25">
        <f>SUM(テーブル13[[#This Row],[Listening正答数（大問1）]:[Listening正答数（大問3）]])</f>
        <v/>
      </c>
      <c r="AG61" s="78">
        <f>テーブル13[[#This Row],[Listening正答数]]/30</f>
        <v/>
      </c>
      <c r="AH61" s="94" t="n"/>
      <c r="AI61" s="3" t="n"/>
      <c r="AJ61" s="3" t="n"/>
      <c r="AK61" s="3" t="n"/>
      <c r="AL61" s="3" t="n"/>
      <c r="AM61" s="3" t="n"/>
      <c r="AN61" s="3" t="n"/>
      <c r="AO61" s="3" t="n"/>
      <c r="AP61" s="25" t="n"/>
      <c r="AQ61" s="89" t="n"/>
      <c r="AR61" s="24" t="n"/>
      <c r="AS61" s="3" t="n"/>
      <c r="AT61" s="3" t="n"/>
      <c r="AU61" s="26" t="n"/>
    </row>
    <row r="62" customFormat="1" s="27">
      <c r="A62" s="39" t="n">
        <v>2025</v>
      </c>
      <c r="B62" s="15" t="inlineStr">
        <is>
          <t>第2回</t>
        </is>
      </c>
      <c r="C62" s="15" t="inlineStr">
        <is>
          <t>4級</t>
        </is>
      </c>
      <c r="D62" s="15" t="inlineStr">
        <is>
          <t>小5</t>
        </is>
      </c>
      <c r="E62" s="15" t="inlineStr">
        <is>
          <t>村上 愛菜</t>
        </is>
      </c>
      <c r="F62" s="15" t="inlineStr">
        <is>
          <t>無</t>
        </is>
      </c>
      <c r="G62" s="15" t="inlineStr">
        <is>
          <t>合格</t>
        </is>
      </c>
      <c r="H62" s="15" t="inlineStr">
        <is>
          <t>－</t>
        </is>
      </c>
      <c r="I62" s="45" t="n"/>
      <c r="J62" s="52" t="inlineStr">
        <is>
          <t>G4 +2</t>
        </is>
      </c>
      <c r="K62" s="44" t="inlineStr">
        <is>
          <t>－</t>
        </is>
      </c>
      <c r="L62" s="52" t="n">
        <v>318</v>
      </c>
      <c r="M62" s="15" t="n">
        <v>330</v>
      </c>
      <c r="N62" s="15" t="inlineStr">
        <is>
          <t>－</t>
        </is>
      </c>
      <c r="O62" s="44" t="n">
        <v>648</v>
      </c>
      <c r="P62" s="52" t="inlineStr">
        <is>
          <t>－</t>
        </is>
      </c>
      <c r="Q62" s="44" t="inlineStr">
        <is>
          <t>－</t>
        </is>
      </c>
      <c r="R62" s="52" t="inlineStr">
        <is>
          <t>*</t>
        </is>
      </c>
      <c r="S62" s="15" t="inlineStr">
        <is>
          <t>*</t>
        </is>
      </c>
      <c r="T62" s="44" t="inlineStr">
        <is>
          <t>*</t>
        </is>
      </c>
      <c r="U62" s="64" t="inlineStr">
        <is>
          <t>*</t>
        </is>
      </c>
      <c r="V62" s="70" t="inlineStr">
        <is>
          <t>*</t>
        </is>
      </c>
      <c r="W62" s="52" t="n">
        <v>7</v>
      </c>
      <c r="X62" s="15" t="n">
        <v>3</v>
      </c>
      <c r="Y62" s="15" t="n">
        <v>2</v>
      </c>
      <c r="Z62" s="15" t="n">
        <v>6</v>
      </c>
      <c r="AA62" s="25">
        <f>SUM(テーブル13[[#This Row],[Reading正答数（大問1）]:[Reading正答数（大問4）]])</f>
        <v/>
      </c>
      <c r="AB62" s="78">
        <f>テーブル13[[#This Row],[リーディング正答数]]/35</f>
        <v/>
      </c>
      <c r="AC62" s="52" t="n">
        <v>6</v>
      </c>
      <c r="AD62" s="15" t="n">
        <v>8</v>
      </c>
      <c r="AE62" s="15" t="n">
        <v>9</v>
      </c>
      <c r="AF62" s="25">
        <f>SUM(テーブル13[[#This Row],[Listening正答数（大問1）]:[Listening正答数（大問3）]])</f>
        <v/>
      </c>
      <c r="AG62" s="78">
        <f>テーブル13[[#This Row],[Listening正答数]]/30</f>
        <v/>
      </c>
      <c r="AH62" s="94" t="n"/>
      <c r="AI62" s="3" t="n"/>
      <c r="AJ62" s="3" t="n"/>
      <c r="AK62" s="3" t="n"/>
      <c r="AL62" s="3" t="n"/>
      <c r="AM62" s="3" t="n"/>
      <c r="AN62" s="3" t="n"/>
      <c r="AO62" s="3" t="n"/>
      <c r="AP62" s="25" t="n"/>
      <c r="AQ62" s="89" t="n"/>
      <c r="AR62" s="24" t="n"/>
      <c r="AS62" s="3" t="n"/>
      <c r="AT62" s="3" t="n"/>
      <c r="AU62" s="26" t="n"/>
    </row>
    <row r="63" ht="19.5" customFormat="1" customHeight="1" s="27" thickBot="1">
      <c r="A63" s="40" t="n">
        <v>2025</v>
      </c>
      <c r="B63" s="16" t="inlineStr">
        <is>
          <t>第2回</t>
        </is>
      </c>
      <c r="C63" s="16" t="inlineStr">
        <is>
          <t>4級</t>
        </is>
      </c>
      <c r="D63" s="16" t="inlineStr">
        <is>
          <t>小5</t>
        </is>
      </c>
      <c r="E63" s="16" t="inlineStr">
        <is>
          <t>佐藤 愛華</t>
        </is>
      </c>
      <c r="F63" s="16" t="inlineStr">
        <is>
          <t>無</t>
        </is>
      </c>
      <c r="G63" s="16" t="inlineStr">
        <is>
          <t>合格</t>
        </is>
      </c>
      <c r="H63" s="16" t="inlineStr">
        <is>
          <t>－</t>
        </is>
      </c>
      <c r="I63" s="46" t="n"/>
      <c r="J63" s="53" t="inlineStr">
        <is>
          <t>G4 +2</t>
        </is>
      </c>
      <c r="K63" s="54" t="inlineStr">
        <is>
          <t>－</t>
        </is>
      </c>
      <c r="L63" s="53" t="n">
        <v>340</v>
      </c>
      <c r="M63" s="16" t="n">
        <v>310</v>
      </c>
      <c r="N63" s="16" t="inlineStr">
        <is>
          <t>－</t>
        </is>
      </c>
      <c r="O63" s="54" t="n">
        <v>650</v>
      </c>
      <c r="P63" s="53" t="inlineStr">
        <is>
          <t>－</t>
        </is>
      </c>
      <c r="Q63" s="54" t="inlineStr">
        <is>
          <t>－</t>
        </is>
      </c>
      <c r="R63" s="53" t="inlineStr">
        <is>
          <t>*</t>
        </is>
      </c>
      <c r="S63" s="16" t="inlineStr">
        <is>
          <t>*</t>
        </is>
      </c>
      <c r="T63" s="54" t="inlineStr">
        <is>
          <t>*</t>
        </is>
      </c>
      <c r="U63" s="65" t="inlineStr">
        <is>
          <t>*</t>
        </is>
      </c>
      <c r="V63" s="71" t="inlineStr">
        <is>
          <t>*</t>
        </is>
      </c>
      <c r="W63" s="53" t="n">
        <v>7</v>
      </c>
      <c r="X63" s="16" t="n">
        <v>3</v>
      </c>
      <c r="Y63" s="16" t="n">
        <v>4</v>
      </c>
      <c r="Z63" s="16" t="n">
        <v>8</v>
      </c>
      <c r="AA63" s="29">
        <f>SUM(テーブル13[[#This Row],[Reading正答数（大問1）]:[Reading正答数（大問4）]])</f>
        <v/>
      </c>
      <c r="AB63" s="79">
        <f>テーブル13[[#This Row],[リーディング正答数]]/35</f>
        <v/>
      </c>
      <c r="AC63" s="53" t="n">
        <v>7</v>
      </c>
      <c r="AD63" s="16" t="n">
        <v>6</v>
      </c>
      <c r="AE63" s="16" t="n">
        <v>8</v>
      </c>
      <c r="AF63" s="29">
        <f>SUM(テーブル13[[#This Row],[Listening正答数（大問1）]:[Listening正答数（大問3）]])</f>
        <v/>
      </c>
      <c r="AG63" s="79">
        <f>テーブル13[[#This Row],[Listening正答数]]/30</f>
        <v/>
      </c>
      <c r="AH63" s="96" t="n"/>
      <c r="AI63" s="4" t="n"/>
      <c r="AJ63" s="4" t="n"/>
      <c r="AK63" s="4" t="n"/>
      <c r="AL63" s="4" t="n"/>
      <c r="AM63" s="4" t="n"/>
      <c r="AN63" s="4" t="n"/>
      <c r="AO63" s="4" t="n"/>
      <c r="AP63" s="29" t="n"/>
      <c r="AQ63" s="90" t="n"/>
      <c r="AR63" s="28" t="n"/>
      <c r="AS63" s="4" t="n"/>
      <c r="AT63" s="4" t="n"/>
      <c r="AU63" s="30" t="n"/>
    </row>
    <row r="64" ht="19.5" customFormat="1" customHeight="1" s="27" thickTop="1">
      <c r="A64" s="42" t="n">
        <v>2025</v>
      </c>
      <c r="B64" s="18" t="inlineStr">
        <is>
          <t>第1回</t>
        </is>
      </c>
      <c r="C64" s="18" t="inlineStr">
        <is>
          <t>5級</t>
        </is>
      </c>
      <c r="D64" s="18" t="inlineStr">
        <is>
          <t>中2</t>
        </is>
      </c>
      <c r="E64" s="18" t="inlineStr">
        <is>
          <t>広瀬 樹孝</t>
        </is>
      </c>
      <c r="F64" s="18" t="inlineStr">
        <is>
          <t>無</t>
        </is>
      </c>
      <c r="G64" s="18" t="inlineStr">
        <is>
          <t>合格</t>
        </is>
      </c>
      <c r="H64" s="18" t="inlineStr">
        <is>
          <t>－</t>
        </is>
      </c>
      <c r="I64" s="48" t="n"/>
      <c r="J64" s="57" t="inlineStr">
        <is>
          <t>G5 +5</t>
        </is>
      </c>
      <c r="K64" s="58" t="inlineStr">
        <is>
          <t>－</t>
        </is>
      </c>
      <c r="L64" s="57" t="n">
        <v>299</v>
      </c>
      <c r="M64" s="18" t="n">
        <v>249</v>
      </c>
      <c r="N64" s="18" t="inlineStr">
        <is>
          <t>－</t>
        </is>
      </c>
      <c r="O64" s="58" t="n">
        <v>548</v>
      </c>
      <c r="P64" s="57" t="inlineStr">
        <is>
          <t>－</t>
        </is>
      </c>
      <c r="Q64" s="58" t="inlineStr">
        <is>
          <t>－</t>
        </is>
      </c>
      <c r="R64" s="57" t="inlineStr">
        <is>
          <t>*</t>
        </is>
      </c>
      <c r="S64" s="18" t="inlineStr">
        <is>
          <t>*</t>
        </is>
      </c>
      <c r="T64" s="58" t="inlineStr">
        <is>
          <t>*</t>
        </is>
      </c>
      <c r="U64" s="67" t="inlineStr">
        <is>
          <t>*</t>
        </is>
      </c>
      <c r="V64" s="73" t="inlineStr">
        <is>
          <t>*</t>
        </is>
      </c>
      <c r="W64" s="57" t="n">
        <v>12</v>
      </c>
      <c r="X64" s="18" t="n">
        <v>3</v>
      </c>
      <c r="Y64" s="18" t="n">
        <v>4</v>
      </c>
      <c r="Z64" s="18" t="n"/>
      <c r="AA64" s="34">
        <f>SUM(テーブル13[[#This Row],[Reading正答数（大問1）]:[Reading正答数（大問4）]])</f>
        <v/>
      </c>
      <c r="AB64" s="84">
        <f>テーブル13[[#This Row],[リーディング正答数]]/25</f>
        <v/>
      </c>
      <c r="AC64" s="57" t="n">
        <v>5</v>
      </c>
      <c r="AD64" s="18" t="n">
        <v>5</v>
      </c>
      <c r="AE64" s="18" t="n">
        <v>10</v>
      </c>
      <c r="AF64" s="34">
        <f>SUM(テーブル13[[#This Row],[Listening正答数（大問1）]:[Listening正答数（大問3）]])</f>
        <v/>
      </c>
      <c r="AG64" s="84">
        <f>テーブル13[[#This Row],[Listening正答数]]/25</f>
        <v/>
      </c>
      <c r="AH64" s="97" t="n"/>
      <c r="AI64" s="5" t="n"/>
      <c r="AJ64" s="5" t="n"/>
      <c r="AK64" s="5" t="n"/>
      <c r="AL64" s="5" t="n"/>
      <c r="AM64" s="5" t="n"/>
      <c r="AN64" s="5" t="n"/>
      <c r="AO64" s="5" t="n"/>
      <c r="AP64" s="34" t="n"/>
      <c r="AQ64" s="93" t="n"/>
      <c r="AR64" s="33" t="n"/>
      <c r="AS64" s="5" t="n"/>
      <c r="AT64" s="5" t="n"/>
      <c r="AU64" s="35" t="n"/>
    </row>
    <row r="65" customFormat="1" s="27">
      <c r="A65" s="39" t="n">
        <v>2025</v>
      </c>
      <c r="B65" s="15" t="inlineStr">
        <is>
          <t>第1回</t>
        </is>
      </c>
      <c r="C65" s="15" t="inlineStr">
        <is>
          <t>5級</t>
        </is>
      </c>
      <c r="D65" s="15" t="inlineStr">
        <is>
          <t>中1</t>
        </is>
      </c>
      <c r="E65" s="15" t="inlineStr">
        <is>
          <t>石澤 憲人</t>
        </is>
      </c>
      <c r="F65" s="15" t="inlineStr">
        <is>
          <t>無</t>
        </is>
      </c>
      <c r="G65" s="15" t="inlineStr">
        <is>
          <t>合格</t>
        </is>
      </c>
      <c r="H65" s="15" t="inlineStr">
        <is>
          <t>－</t>
        </is>
      </c>
      <c r="I65" s="45" t="n"/>
      <c r="J65" s="52" t="inlineStr">
        <is>
          <t>G5 +6</t>
        </is>
      </c>
      <c r="K65" s="44" t="inlineStr">
        <is>
          <t>－</t>
        </is>
      </c>
      <c r="L65" s="52" t="n">
        <v>279</v>
      </c>
      <c r="M65" s="15" t="n">
        <v>282</v>
      </c>
      <c r="N65" s="15" t="inlineStr">
        <is>
          <t>－</t>
        </is>
      </c>
      <c r="O65" s="44" t="n">
        <v>561</v>
      </c>
      <c r="P65" s="52" t="inlineStr">
        <is>
          <t>－</t>
        </is>
      </c>
      <c r="Q65" s="44" t="inlineStr">
        <is>
          <t>－</t>
        </is>
      </c>
      <c r="R65" s="52" t="inlineStr">
        <is>
          <t>*</t>
        </is>
      </c>
      <c r="S65" s="15" t="inlineStr">
        <is>
          <t>*</t>
        </is>
      </c>
      <c r="T65" s="44" t="inlineStr">
        <is>
          <t>*</t>
        </is>
      </c>
      <c r="U65" s="64" t="inlineStr">
        <is>
          <t>*</t>
        </is>
      </c>
      <c r="V65" s="70" t="inlineStr">
        <is>
          <t>*</t>
        </is>
      </c>
      <c r="W65" s="52" t="n">
        <v>7</v>
      </c>
      <c r="X65" s="15" t="n">
        <v>5</v>
      </c>
      <c r="Y65" s="15" t="n">
        <v>5</v>
      </c>
      <c r="Z65" s="15" t="n"/>
      <c r="AA65" s="25">
        <f>SUM(テーブル13[[#This Row],[Reading正答数（大問1）]:[Reading正答数（大問4）]])</f>
        <v/>
      </c>
      <c r="AB65" s="78">
        <f>テーブル13[[#This Row],[リーディング正答数]]/25</f>
        <v/>
      </c>
      <c r="AC65" s="52" t="n">
        <v>8</v>
      </c>
      <c r="AD65" s="15" t="n">
        <v>4</v>
      </c>
      <c r="AE65" s="15" t="n">
        <v>10</v>
      </c>
      <c r="AF65" s="25">
        <f>SUM(テーブル13[[#This Row],[Listening正答数（大問1）]:[Listening正答数（大問3）]])</f>
        <v/>
      </c>
      <c r="AG65" s="78">
        <f>テーブル13[[#This Row],[Listening正答数]]/25</f>
        <v/>
      </c>
      <c r="AH65" s="94" t="n"/>
      <c r="AI65" s="3" t="n"/>
      <c r="AJ65" s="3" t="n"/>
      <c r="AK65" s="3" t="n"/>
      <c r="AL65" s="3" t="n"/>
      <c r="AM65" s="3" t="n"/>
      <c r="AN65" s="3" t="n"/>
      <c r="AO65" s="3" t="n"/>
      <c r="AP65" s="25" t="n"/>
      <c r="AQ65" s="89" t="n"/>
      <c r="AR65" s="39" t="n"/>
      <c r="AS65" s="15" t="n"/>
      <c r="AT65" s="3" t="n"/>
      <c r="AU65" s="26" t="n"/>
    </row>
    <row r="66" customFormat="1" s="27">
      <c r="A66" s="39" t="n">
        <v>2025</v>
      </c>
      <c r="B66" s="15" t="inlineStr">
        <is>
          <t>第1回</t>
        </is>
      </c>
      <c r="C66" s="15" t="inlineStr">
        <is>
          <t>5級</t>
        </is>
      </c>
      <c r="D66" s="15" t="inlineStr">
        <is>
          <t>小5</t>
        </is>
      </c>
      <c r="E66" s="15" t="inlineStr">
        <is>
          <t>村上 愛菜</t>
        </is>
      </c>
      <c r="F66" s="15" t="inlineStr">
        <is>
          <t>無</t>
        </is>
      </c>
      <c r="G66" s="15" t="inlineStr">
        <is>
          <t>合格</t>
        </is>
      </c>
      <c r="H66" s="15" t="inlineStr">
        <is>
          <t>－</t>
        </is>
      </c>
      <c r="I66" s="45" t="n"/>
      <c r="J66" s="52" t="inlineStr">
        <is>
          <t>G5 +9</t>
        </is>
      </c>
      <c r="K66" s="44" t="inlineStr">
        <is>
          <t>G5 -2</t>
        </is>
      </c>
      <c r="L66" s="52" t="n">
        <v>324</v>
      </c>
      <c r="M66" s="15" t="n">
        <v>304</v>
      </c>
      <c r="N66" s="15" t="inlineStr">
        <is>
          <t>－</t>
        </is>
      </c>
      <c r="O66" s="44" t="n">
        <v>628</v>
      </c>
      <c r="P66" s="52" t="n">
        <v>236</v>
      </c>
      <c r="Q66" s="44" t="inlineStr">
        <is>
          <t>－</t>
        </is>
      </c>
      <c r="R66" s="52" t="inlineStr">
        <is>
          <t>*</t>
        </is>
      </c>
      <c r="S66" s="15" t="inlineStr">
        <is>
          <t>*</t>
        </is>
      </c>
      <c r="T66" s="44" t="inlineStr">
        <is>
          <t>*</t>
        </is>
      </c>
      <c r="U66" s="64" t="inlineStr">
        <is>
          <t>*</t>
        </is>
      </c>
      <c r="V66" s="70" t="inlineStr">
        <is>
          <t>*</t>
        </is>
      </c>
      <c r="W66" s="52" t="n">
        <v>13</v>
      </c>
      <c r="X66" s="15" t="n">
        <v>5</v>
      </c>
      <c r="Y66" s="15" t="n">
        <v>3</v>
      </c>
      <c r="Z66" s="15" t="n"/>
      <c r="AA66" s="25">
        <f>SUM(テーブル13[[#This Row],[Reading正答数（大問1）]:[Reading正答数（大問4）]])</f>
        <v/>
      </c>
      <c r="AB66" s="78">
        <f>テーブル13[[#This Row],[リーディング正答数]]/25</f>
        <v/>
      </c>
      <c r="AC66" s="52" t="n">
        <v>9</v>
      </c>
      <c r="AD66" s="15" t="n">
        <v>5</v>
      </c>
      <c r="AE66" s="15" t="n">
        <v>9</v>
      </c>
      <c r="AF66" s="25">
        <f>SUM(テーブル13[[#This Row],[Listening正答数（大問1）]:[Listening正答数（大問3）]])</f>
        <v/>
      </c>
      <c r="AG66" s="78">
        <f>テーブル13[[#This Row],[Listening正答数]]/25</f>
        <v/>
      </c>
      <c r="AH66" s="94" t="n"/>
      <c r="AI66" s="3" t="n"/>
      <c r="AJ66" s="3" t="n"/>
      <c r="AK66" s="3" t="n"/>
      <c r="AL66" s="3" t="n"/>
      <c r="AM66" s="3" t="n"/>
      <c r="AN66" s="3" t="n"/>
      <c r="AO66" s="3" t="n"/>
      <c r="AP66" s="25" t="n"/>
      <c r="AQ66" s="89" t="n"/>
      <c r="AR66" s="39" t="n"/>
      <c r="AS66" s="15" t="n"/>
      <c r="AT66" s="3" t="n"/>
      <c r="AU66" s="26" t="n"/>
    </row>
    <row r="67" customFormat="1" s="27">
      <c r="A67" s="39" t="n">
        <v>2025</v>
      </c>
      <c r="B67" s="15" t="inlineStr">
        <is>
          <t>第1回</t>
        </is>
      </c>
      <c r="C67" s="15" t="inlineStr">
        <is>
          <t>5級</t>
        </is>
      </c>
      <c r="D67" s="15" t="inlineStr">
        <is>
          <t>小6</t>
        </is>
      </c>
      <c r="E67" s="15" t="inlineStr">
        <is>
          <t>古川 水奈世</t>
        </is>
      </c>
      <c r="F67" s="15" t="inlineStr">
        <is>
          <t>無</t>
        </is>
      </c>
      <c r="G67" s="15" t="inlineStr">
        <is>
          <t>合格</t>
        </is>
      </c>
      <c r="H67" s="15" t="inlineStr">
        <is>
          <t>－</t>
        </is>
      </c>
      <c r="I67" s="45" t="n"/>
      <c r="J67" s="52" t="inlineStr">
        <is>
          <t>G5 +2</t>
        </is>
      </c>
      <c r="K67" s="44" t="inlineStr">
        <is>
          <t>－</t>
        </is>
      </c>
      <c r="L67" s="52" t="n">
        <v>238</v>
      </c>
      <c r="M67" s="15" t="n">
        <v>224</v>
      </c>
      <c r="N67" s="15" t="inlineStr">
        <is>
          <t>－</t>
        </is>
      </c>
      <c r="O67" s="44" t="n">
        <v>462</v>
      </c>
      <c r="P67" s="52" t="inlineStr">
        <is>
          <t>－</t>
        </is>
      </c>
      <c r="Q67" s="44" t="inlineStr">
        <is>
          <t>－</t>
        </is>
      </c>
      <c r="R67" s="52" t="inlineStr">
        <is>
          <t>*</t>
        </is>
      </c>
      <c r="S67" s="15" t="inlineStr">
        <is>
          <t>*</t>
        </is>
      </c>
      <c r="T67" s="44" t="inlineStr">
        <is>
          <t>*</t>
        </is>
      </c>
      <c r="U67" s="64" t="inlineStr">
        <is>
          <t>*</t>
        </is>
      </c>
      <c r="V67" s="70" t="inlineStr">
        <is>
          <t>*</t>
        </is>
      </c>
      <c r="W67" s="52" t="n">
        <v>8</v>
      </c>
      <c r="X67" s="15" t="n">
        <v>0</v>
      </c>
      <c r="Y67" s="15" t="n">
        <v>4</v>
      </c>
      <c r="Z67" s="15" t="n"/>
      <c r="AA67" s="25">
        <f>SUM(テーブル13[[#This Row],[Reading正答数（大問1）]:[Reading正答数（大問4）]])</f>
        <v/>
      </c>
      <c r="AB67" s="78">
        <f>テーブル13[[#This Row],[リーディング正答数]]/25</f>
        <v/>
      </c>
      <c r="AC67" s="52" t="n">
        <v>7</v>
      </c>
      <c r="AD67" s="15" t="n">
        <v>3</v>
      </c>
      <c r="AE67" s="15" t="n">
        <v>8</v>
      </c>
      <c r="AF67" s="25">
        <f>SUM(テーブル13[[#This Row],[Listening正答数（大問1）]:[Listening正答数（大問3）]])</f>
        <v/>
      </c>
      <c r="AG67" s="78">
        <f>テーブル13[[#This Row],[Listening正答数]]/25</f>
        <v/>
      </c>
      <c r="AH67" s="94" t="n"/>
      <c r="AI67" s="3" t="n"/>
      <c r="AJ67" s="3" t="n"/>
      <c r="AK67" s="3" t="n"/>
      <c r="AL67" s="3" t="n"/>
      <c r="AM67" s="3" t="n"/>
      <c r="AN67" s="3" t="n"/>
      <c r="AO67" s="3" t="n"/>
      <c r="AP67" s="25" t="n"/>
      <c r="AQ67" s="89" t="n"/>
      <c r="AR67" s="24" t="n"/>
      <c r="AS67" s="3" t="n"/>
      <c r="AT67" s="3" t="n"/>
      <c r="AU67" s="26" t="n"/>
    </row>
    <row r="68" customFormat="1" s="27">
      <c r="A68" s="39" t="n">
        <v>2025</v>
      </c>
      <c r="B68" s="15" t="inlineStr">
        <is>
          <t>第1回</t>
        </is>
      </c>
      <c r="C68" s="15" t="inlineStr">
        <is>
          <t>5級</t>
        </is>
      </c>
      <c r="D68" s="15" t="inlineStr">
        <is>
          <t>小5</t>
        </is>
      </c>
      <c r="E68" s="15" t="inlineStr">
        <is>
          <t>佐藤 愛華</t>
        </is>
      </c>
      <c r="F68" s="15" t="inlineStr">
        <is>
          <t>無</t>
        </is>
      </c>
      <c r="G68" s="15" t="inlineStr">
        <is>
          <t>合格</t>
        </is>
      </c>
      <c r="H68" s="15" t="inlineStr">
        <is>
          <t>－</t>
        </is>
      </c>
      <c r="I68" s="45" t="n"/>
      <c r="J68" s="52" t="inlineStr">
        <is>
          <t>G5 +9</t>
        </is>
      </c>
      <c r="K68" s="44" t="inlineStr">
        <is>
          <t>－</t>
        </is>
      </c>
      <c r="L68" s="52" t="n">
        <v>339</v>
      </c>
      <c r="M68" s="15" t="n">
        <v>304</v>
      </c>
      <c r="N68" s="15" t="inlineStr">
        <is>
          <t>－</t>
        </is>
      </c>
      <c r="O68" s="44" t="n">
        <v>643</v>
      </c>
      <c r="P68" s="52" t="inlineStr">
        <is>
          <t>－</t>
        </is>
      </c>
      <c r="Q68" s="44" t="inlineStr">
        <is>
          <t>－</t>
        </is>
      </c>
      <c r="R68" s="52" t="inlineStr">
        <is>
          <t>*</t>
        </is>
      </c>
      <c r="S68" s="15" t="inlineStr">
        <is>
          <t>*</t>
        </is>
      </c>
      <c r="T68" s="44" t="inlineStr">
        <is>
          <t>*</t>
        </is>
      </c>
      <c r="U68" s="64" t="inlineStr">
        <is>
          <t>*</t>
        </is>
      </c>
      <c r="V68" s="70" t="inlineStr">
        <is>
          <t>*</t>
        </is>
      </c>
      <c r="W68" s="52" t="n">
        <v>12</v>
      </c>
      <c r="X68" s="15" t="n">
        <v>5</v>
      </c>
      <c r="Y68" s="15" t="n">
        <v>5</v>
      </c>
      <c r="Z68" s="15" t="n"/>
      <c r="AA68" s="25">
        <f>SUM(テーブル13[[#This Row],[Reading正答数（大問1）]:[Reading正答数（大問4）]])</f>
        <v/>
      </c>
      <c r="AB68" s="78">
        <f>テーブル13[[#This Row],[リーディング正答数]]/25</f>
        <v/>
      </c>
      <c r="AC68" s="52" t="n">
        <v>9</v>
      </c>
      <c r="AD68" s="15" t="n">
        <v>4</v>
      </c>
      <c r="AE68" s="15" t="n">
        <v>10</v>
      </c>
      <c r="AF68" s="25">
        <f>SUM(テーブル13[[#This Row],[Listening正答数（大問1）]:[Listening正答数（大問3）]])</f>
        <v/>
      </c>
      <c r="AG68" s="78">
        <f>テーブル13[[#This Row],[Listening正答数]]/25</f>
        <v/>
      </c>
      <c r="AH68" s="94" t="n"/>
      <c r="AI68" s="3" t="n"/>
      <c r="AJ68" s="3" t="n"/>
      <c r="AK68" s="3" t="n"/>
      <c r="AL68" s="3" t="n"/>
      <c r="AM68" s="3" t="n"/>
      <c r="AN68" s="3" t="n"/>
      <c r="AO68" s="3" t="n"/>
      <c r="AP68" s="25" t="n"/>
      <c r="AQ68" s="89" t="n"/>
      <c r="AR68" s="24" t="n"/>
      <c r="AS68" s="3" t="n"/>
      <c r="AT68" s="3" t="n"/>
      <c r="AU68" s="26" t="n"/>
    </row>
    <row r="69" customFormat="1" s="27">
      <c r="A69" s="39" t="n">
        <v>2025</v>
      </c>
      <c r="B69" s="15" t="inlineStr">
        <is>
          <t>第1回</t>
        </is>
      </c>
      <c r="C69" s="15" t="inlineStr">
        <is>
          <t>5級</t>
        </is>
      </c>
      <c r="D69" s="15" t="inlineStr">
        <is>
          <t>小4</t>
        </is>
      </c>
      <c r="E69" s="15" t="inlineStr">
        <is>
          <t>住吉 由宇</t>
        </is>
      </c>
      <c r="F69" s="15" t="inlineStr">
        <is>
          <t>無</t>
        </is>
      </c>
      <c r="G69" s="15" t="inlineStr">
        <is>
          <t>合格</t>
        </is>
      </c>
      <c r="H69" s="15" t="inlineStr">
        <is>
          <t>－</t>
        </is>
      </c>
      <c r="I69" s="45" t="n"/>
      <c r="J69" s="52" t="inlineStr">
        <is>
          <t>G5 +8</t>
        </is>
      </c>
      <c r="K69" s="44" t="inlineStr">
        <is>
          <t>－</t>
        </is>
      </c>
      <c r="L69" s="52" t="n">
        <v>311</v>
      </c>
      <c r="M69" s="15" t="n">
        <v>304</v>
      </c>
      <c r="N69" s="15" t="inlineStr">
        <is>
          <t>－</t>
        </is>
      </c>
      <c r="O69" s="44" t="n">
        <v>615</v>
      </c>
      <c r="P69" s="52" t="inlineStr">
        <is>
          <t>－</t>
        </is>
      </c>
      <c r="Q69" s="44" t="inlineStr">
        <is>
          <t>－</t>
        </is>
      </c>
      <c r="R69" s="52" t="inlineStr">
        <is>
          <t>*</t>
        </is>
      </c>
      <c r="S69" s="15" t="inlineStr">
        <is>
          <t>*</t>
        </is>
      </c>
      <c r="T69" s="44" t="inlineStr">
        <is>
          <t>*</t>
        </is>
      </c>
      <c r="U69" s="64" t="inlineStr">
        <is>
          <t>*</t>
        </is>
      </c>
      <c r="V69" s="70" t="inlineStr">
        <is>
          <t>*</t>
        </is>
      </c>
      <c r="W69" s="52" t="n">
        <v>11</v>
      </c>
      <c r="X69" s="15" t="n">
        <v>5</v>
      </c>
      <c r="Y69" s="15" t="n">
        <v>4</v>
      </c>
      <c r="Z69" s="15" t="n"/>
      <c r="AA69" s="25">
        <f>SUM(テーブル13[[#This Row],[Reading正答数（大問1）]:[Reading正答数（大問4）]])</f>
        <v/>
      </c>
      <c r="AB69" s="78">
        <f>テーブル13[[#This Row],[リーディング正答数]]/25</f>
        <v/>
      </c>
      <c r="AC69" s="52" t="n">
        <v>8</v>
      </c>
      <c r="AD69" s="15" t="n">
        <v>5</v>
      </c>
      <c r="AE69" s="15" t="n">
        <v>10</v>
      </c>
      <c r="AF69" s="25">
        <f>SUM(テーブル13[[#This Row],[Listening正答数（大問1）]:[Listening正答数（大問3）]])</f>
        <v/>
      </c>
      <c r="AG69" s="78">
        <f>テーブル13[[#This Row],[Listening正答数]]/25</f>
        <v/>
      </c>
      <c r="AH69" s="94" t="n"/>
      <c r="AI69" s="3" t="n"/>
      <c r="AJ69" s="3" t="n"/>
      <c r="AK69" s="3" t="n"/>
      <c r="AL69" s="3" t="n"/>
      <c r="AM69" s="3" t="n"/>
      <c r="AN69" s="3" t="n"/>
      <c r="AO69" s="3" t="n"/>
      <c r="AP69" s="25" t="n"/>
      <c r="AQ69" s="89" t="n"/>
      <c r="AR69" s="24" t="n"/>
      <c r="AS69" s="3" t="n"/>
      <c r="AT69" s="3" t="n"/>
      <c r="AU69" s="26" t="n"/>
    </row>
    <row r="70" customFormat="1" s="27">
      <c r="A70" s="39" t="n">
        <v>2025</v>
      </c>
      <c r="B70" s="15" t="inlineStr">
        <is>
          <t>第2回</t>
        </is>
      </c>
      <c r="C70" s="15" t="inlineStr">
        <is>
          <t>5級</t>
        </is>
      </c>
      <c r="D70" s="15" t="inlineStr">
        <is>
          <t>小6</t>
        </is>
      </c>
      <c r="E70" s="15" t="inlineStr">
        <is>
          <t>郡 美颯</t>
        </is>
      </c>
      <c r="F70" s="15" t="inlineStr">
        <is>
          <t>無</t>
        </is>
      </c>
      <c r="G70" s="15" t="inlineStr">
        <is>
          <t>合格</t>
        </is>
      </c>
      <c r="H70" s="15" t="inlineStr">
        <is>
          <t>－</t>
        </is>
      </c>
      <c r="I70" s="45" t="n"/>
      <c r="J70" s="52" t="inlineStr">
        <is>
          <t>G5 +10</t>
        </is>
      </c>
      <c r="K70" s="44" t="inlineStr">
        <is>
          <t>－</t>
        </is>
      </c>
      <c r="L70" s="52" t="n">
        <v>319</v>
      </c>
      <c r="M70" s="15" t="n">
        <v>341</v>
      </c>
      <c r="N70" s="15" t="inlineStr">
        <is>
          <t>－</t>
        </is>
      </c>
      <c r="O70" s="44" t="n">
        <v>660</v>
      </c>
      <c r="P70" s="52" t="inlineStr">
        <is>
          <t>－</t>
        </is>
      </c>
      <c r="Q70" s="44" t="inlineStr">
        <is>
          <t>－</t>
        </is>
      </c>
      <c r="R70" s="52" t="inlineStr">
        <is>
          <t>*</t>
        </is>
      </c>
      <c r="S70" s="15" t="inlineStr">
        <is>
          <t>*</t>
        </is>
      </c>
      <c r="T70" s="44" t="inlineStr">
        <is>
          <t>*</t>
        </is>
      </c>
      <c r="U70" s="64" t="inlineStr">
        <is>
          <t>*</t>
        </is>
      </c>
      <c r="V70" s="70" t="inlineStr">
        <is>
          <t>*</t>
        </is>
      </c>
      <c r="W70" s="52" t="n">
        <v>10</v>
      </c>
      <c r="X70" s="15" t="n">
        <v>5</v>
      </c>
      <c r="Y70" s="15" t="n">
        <v>4</v>
      </c>
      <c r="Z70" s="15" t="n"/>
      <c r="AA70" s="25">
        <f>SUM(テーブル13[[#This Row],[Reading正答数（大問1）]:[Reading正答数（大問4）]])</f>
        <v/>
      </c>
      <c r="AB70" s="78">
        <f>テーブル13[[#This Row],[リーディング正答数]]/25</f>
        <v/>
      </c>
      <c r="AC70" s="52" t="n">
        <v>9</v>
      </c>
      <c r="AD70" s="15" t="n">
        <v>5</v>
      </c>
      <c r="AE70" s="15" t="n">
        <v>10</v>
      </c>
      <c r="AF70" s="25">
        <f>SUM(テーブル13[[#This Row],[Listening正答数（大問1）]:[Listening正答数（大問3）]])</f>
        <v/>
      </c>
      <c r="AG70" s="78">
        <f>テーブル13[[#This Row],[Listening正答数]]/25</f>
        <v/>
      </c>
      <c r="AH70" s="94" t="n"/>
      <c r="AI70" s="3" t="n"/>
      <c r="AJ70" s="3" t="n"/>
      <c r="AK70" s="3" t="n"/>
      <c r="AL70" s="3" t="n"/>
      <c r="AM70" s="3" t="n"/>
      <c r="AN70" s="3" t="n"/>
      <c r="AO70" s="3" t="n"/>
      <c r="AP70" s="25" t="n"/>
      <c r="AQ70" s="89" t="n"/>
      <c r="AR70" s="24" t="n"/>
      <c r="AS70" s="3" t="n"/>
      <c r="AT70" s="3" t="n"/>
      <c r="AU70" s="26" t="n"/>
    </row>
    <row r="71" customFormat="1" s="27">
      <c r="A71" s="39" t="n">
        <v>2025</v>
      </c>
      <c r="B71" s="15" t="inlineStr">
        <is>
          <t>第2回</t>
        </is>
      </c>
      <c r="C71" s="15" t="inlineStr">
        <is>
          <t>5級</t>
        </is>
      </c>
      <c r="D71" s="15" t="inlineStr">
        <is>
          <t>小4</t>
        </is>
      </c>
      <c r="E71" s="15" t="inlineStr">
        <is>
          <t>岩本 奈月</t>
        </is>
      </c>
      <c r="F71" s="15" t="inlineStr">
        <is>
          <t>無</t>
        </is>
      </c>
      <c r="G71" s="15" t="inlineStr">
        <is>
          <t>合格</t>
        </is>
      </c>
      <c r="H71" s="15" t="inlineStr">
        <is>
          <t>－</t>
        </is>
      </c>
      <c r="I71" s="45" t="n"/>
      <c r="J71" s="52" t="inlineStr">
        <is>
          <t>G5 +2</t>
        </is>
      </c>
      <c r="K71" s="44" t="inlineStr">
        <is>
          <t>－</t>
        </is>
      </c>
      <c r="L71" s="52" t="n">
        <v>246</v>
      </c>
      <c r="M71" s="15" t="n">
        <v>202</v>
      </c>
      <c r="N71" s="15" t="inlineStr">
        <is>
          <t>－</t>
        </is>
      </c>
      <c r="O71" s="44" t="n">
        <v>448</v>
      </c>
      <c r="P71" s="52" t="inlineStr">
        <is>
          <t>－</t>
        </is>
      </c>
      <c r="Q71" s="44" t="inlineStr">
        <is>
          <t>－</t>
        </is>
      </c>
      <c r="R71" s="52" t="inlineStr">
        <is>
          <t>*</t>
        </is>
      </c>
      <c r="S71" s="15" t="inlineStr">
        <is>
          <t>*</t>
        </is>
      </c>
      <c r="T71" s="44" t="inlineStr">
        <is>
          <t>*</t>
        </is>
      </c>
      <c r="U71" s="64" t="inlineStr">
        <is>
          <t>*</t>
        </is>
      </c>
      <c r="V71" s="70" t="inlineStr">
        <is>
          <t>*</t>
        </is>
      </c>
      <c r="W71" s="52" t="n">
        <v>6</v>
      </c>
      <c r="X71" s="15" t="n">
        <v>3</v>
      </c>
      <c r="Y71" s="15" t="n">
        <v>1</v>
      </c>
      <c r="Z71" s="15" t="n"/>
      <c r="AA71" s="25">
        <f>SUM(テーブル13[[#This Row],[Reading正答数（大問1）]:[Reading正答数（大問4）]])</f>
        <v/>
      </c>
      <c r="AB71" s="78">
        <f>テーブル13[[#This Row],[リーディング正答数]]/25</f>
        <v/>
      </c>
      <c r="AC71" s="52" t="n">
        <v>5</v>
      </c>
      <c r="AD71" s="15" t="n">
        <v>3</v>
      </c>
      <c r="AE71" s="15" t="n">
        <v>7</v>
      </c>
      <c r="AF71" s="25">
        <f>SUM(テーブル13[[#This Row],[Listening正答数（大問1）]:[Listening正答数（大問3）]])</f>
        <v/>
      </c>
      <c r="AG71" s="78">
        <f>テーブル13[[#This Row],[Listening正答数]]/25</f>
        <v/>
      </c>
      <c r="AH71" s="94" t="n"/>
      <c r="AI71" s="3" t="n"/>
      <c r="AJ71" s="3" t="n"/>
      <c r="AK71" s="3" t="n"/>
      <c r="AL71" s="3" t="n"/>
      <c r="AM71" s="3" t="n"/>
      <c r="AN71" s="3" t="n"/>
      <c r="AO71" s="3" t="n"/>
      <c r="AP71" s="25" t="n"/>
      <c r="AQ71" s="89" t="n"/>
      <c r="AR71" s="24" t="n"/>
      <c r="AS71" s="3" t="n"/>
      <c r="AT71" s="3" t="n"/>
      <c r="AU71" s="26" t="n"/>
    </row>
    <row r="72" customFormat="1" s="27">
      <c r="A72" s="39" t="n">
        <v>2025</v>
      </c>
      <c r="B72" s="15" t="inlineStr">
        <is>
          <t>第2回</t>
        </is>
      </c>
      <c r="C72" s="15" t="inlineStr">
        <is>
          <t>5級</t>
        </is>
      </c>
      <c r="D72" s="15" t="inlineStr">
        <is>
          <t>小4</t>
        </is>
      </c>
      <c r="E72" s="15" t="inlineStr">
        <is>
          <t>近 清志朗</t>
        </is>
      </c>
      <c r="F72" s="15" t="inlineStr">
        <is>
          <t>無</t>
        </is>
      </c>
      <c r="G72" s="15" t="inlineStr">
        <is>
          <t>合格</t>
        </is>
      </c>
      <c r="H72" s="15" t="inlineStr">
        <is>
          <t>－</t>
        </is>
      </c>
      <c r="I72" s="45" t="n"/>
      <c r="J72" s="52" t="inlineStr">
        <is>
          <t>G5 +6</t>
        </is>
      </c>
      <c r="K72" s="44" t="inlineStr">
        <is>
          <t>－</t>
        </is>
      </c>
      <c r="L72" s="52" t="n">
        <v>301</v>
      </c>
      <c r="M72" s="15" t="n">
        <v>268</v>
      </c>
      <c r="N72" s="15" t="inlineStr">
        <is>
          <t>－</t>
        </is>
      </c>
      <c r="O72" s="44" t="n">
        <v>569</v>
      </c>
      <c r="P72" s="52" t="inlineStr">
        <is>
          <t>－</t>
        </is>
      </c>
      <c r="Q72" s="44" t="inlineStr">
        <is>
          <t>－</t>
        </is>
      </c>
      <c r="R72" s="52" t="inlineStr">
        <is>
          <t>*</t>
        </is>
      </c>
      <c r="S72" s="15" t="inlineStr">
        <is>
          <t>*</t>
        </is>
      </c>
      <c r="T72" s="44" t="inlineStr">
        <is>
          <t>*</t>
        </is>
      </c>
      <c r="U72" s="64" t="inlineStr">
        <is>
          <t>*</t>
        </is>
      </c>
      <c r="V72" s="70" t="inlineStr">
        <is>
          <t>*</t>
        </is>
      </c>
      <c r="W72" s="52" t="n">
        <v>10</v>
      </c>
      <c r="X72" s="15" t="n">
        <v>4</v>
      </c>
      <c r="Y72" s="15" t="n">
        <v>3</v>
      </c>
      <c r="Z72" s="15" t="n"/>
      <c r="AA72" s="25">
        <f>SUM(テーブル13[[#This Row],[Reading正答数（大問1）]:[Reading正答数（大問4）]])</f>
        <v/>
      </c>
      <c r="AB72" s="78">
        <f>テーブル13[[#This Row],[リーディング正答数]]/25</f>
        <v/>
      </c>
      <c r="AC72" s="52" t="n">
        <v>7</v>
      </c>
      <c r="AD72" s="15" t="n">
        <v>5</v>
      </c>
      <c r="AE72" s="15" t="n">
        <v>9</v>
      </c>
      <c r="AF72" s="25">
        <f>SUM(テーブル13[[#This Row],[Listening正答数（大問1）]:[Listening正答数（大問3）]])</f>
        <v/>
      </c>
      <c r="AG72" s="78">
        <f>テーブル13[[#This Row],[Listening正答数]]/25</f>
        <v/>
      </c>
      <c r="AH72" s="94" t="n"/>
      <c r="AI72" s="3" t="n"/>
      <c r="AJ72" s="3" t="n"/>
      <c r="AK72" s="3" t="n"/>
      <c r="AL72" s="3" t="n"/>
      <c r="AM72" s="3" t="n"/>
      <c r="AN72" s="3" t="n"/>
      <c r="AO72" s="3" t="n"/>
      <c r="AP72" s="25" t="n"/>
      <c r="AQ72" s="89" t="n"/>
      <c r="AR72" s="24" t="n"/>
      <c r="AS72" s="3" t="n"/>
      <c r="AT72" s="3" t="n"/>
      <c r="AU72" s="26" t="n"/>
    </row>
    <row r="73" customFormat="1" s="27">
      <c r="A73" s="39" t="n">
        <v>2025</v>
      </c>
      <c r="B73" s="15" t="inlineStr">
        <is>
          <t>第2回</t>
        </is>
      </c>
      <c r="C73" s="15" t="inlineStr">
        <is>
          <t>5級</t>
        </is>
      </c>
      <c r="D73" s="15" t="inlineStr">
        <is>
          <t>小4</t>
        </is>
      </c>
      <c r="E73" s="15" t="inlineStr">
        <is>
          <t>磯﨑 遥希</t>
        </is>
      </c>
      <c r="F73" s="15" t="inlineStr">
        <is>
          <t>無</t>
        </is>
      </c>
      <c r="G73" s="15" t="inlineStr">
        <is>
          <t>合格</t>
        </is>
      </c>
      <c r="H73" s="15" t="inlineStr">
        <is>
          <t>－</t>
        </is>
      </c>
      <c r="I73" s="45" t="n"/>
      <c r="J73" s="52" t="inlineStr">
        <is>
          <t>G5 +5</t>
        </is>
      </c>
      <c r="K73" s="44" t="inlineStr">
        <is>
          <t>－</t>
        </is>
      </c>
      <c r="L73" s="52" t="n">
        <v>220</v>
      </c>
      <c r="M73" s="15" t="n">
        <v>306</v>
      </c>
      <c r="N73" s="15" t="inlineStr">
        <is>
          <t>－</t>
        </is>
      </c>
      <c r="O73" s="44" t="n">
        <v>526</v>
      </c>
      <c r="P73" s="52" t="inlineStr">
        <is>
          <t>－</t>
        </is>
      </c>
      <c r="Q73" s="44" t="inlineStr">
        <is>
          <t>－</t>
        </is>
      </c>
      <c r="R73" s="52" t="inlineStr">
        <is>
          <t>*</t>
        </is>
      </c>
      <c r="S73" s="15" t="inlineStr">
        <is>
          <t>*</t>
        </is>
      </c>
      <c r="T73" s="44" t="inlineStr">
        <is>
          <t>*</t>
        </is>
      </c>
      <c r="U73" s="64" t="inlineStr">
        <is>
          <t>*</t>
        </is>
      </c>
      <c r="V73" s="70" t="inlineStr">
        <is>
          <t>*</t>
        </is>
      </c>
      <c r="W73" s="52" t="n">
        <v>5</v>
      </c>
      <c r="X73" s="15" t="n">
        <v>1</v>
      </c>
      <c r="Y73" s="15" t="n">
        <v>1</v>
      </c>
      <c r="Z73" s="15" t="n"/>
      <c r="AA73" s="25">
        <f>SUM(テーブル13[[#This Row],[Reading正答数（大問1）]:[Reading正答数（大問4）]])</f>
        <v/>
      </c>
      <c r="AB73" s="78">
        <f>テーブル13[[#This Row],[リーディング正答数]]/25</f>
        <v/>
      </c>
      <c r="AC73" s="52" t="n">
        <v>9</v>
      </c>
      <c r="AD73" s="15" t="n">
        <v>5</v>
      </c>
      <c r="AE73" s="15" t="n">
        <v>9</v>
      </c>
      <c r="AF73" s="25">
        <f>SUM(テーブル13[[#This Row],[Listening正答数（大問1）]:[Listening正答数（大問3）]])</f>
        <v/>
      </c>
      <c r="AG73" s="78">
        <f>テーブル13[[#This Row],[Listening正答数]]/25</f>
        <v/>
      </c>
      <c r="AH73" s="94" t="n"/>
      <c r="AI73" s="3" t="n"/>
      <c r="AJ73" s="3" t="n"/>
      <c r="AK73" s="3" t="n"/>
      <c r="AL73" s="3" t="n"/>
      <c r="AM73" s="3" t="n"/>
      <c r="AN73" s="3" t="n"/>
      <c r="AO73" s="3" t="n"/>
      <c r="AP73" s="25" t="n"/>
      <c r="AQ73" s="89" t="n"/>
      <c r="AR73" s="24" t="n"/>
      <c r="AS73" s="3" t="n"/>
      <c r="AT73" s="3" t="n"/>
      <c r="AU73" s="26" t="n"/>
    </row>
    <row r="74" customFormat="1" s="27">
      <c r="A74" s="39" t="n">
        <v>2025</v>
      </c>
      <c r="B74" s="15" t="inlineStr">
        <is>
          <t>第2回</t>
        </is>
      </c>
      <c r="C74" s="15" t="inlineStr">
        <is>
          <t>5級</t>
        </is>
      </c>
      <c r="D74" s="15" t="inlineStr">
        <is>
          <t>小5</t>
        </is>
      </c>
      <c r="E74" s="15" t="inlineStr">
        <is>
          <t>小西 伶奈</t>
        </is>
      </c>
      <c r="F74" s="15" t="inlineStr">
        <is>
          <t>無</t>
        </is>
      </c>
      <c r="G74" s="15" t="inlineStr">
        <is>
          <t>合格</t>
        </is>
      </c>
      <c r="H74" s="15" t="inlineStr">
        <is>
          <t>－</t>
        </is>
      </c>
      <c r="I74" s="45" t="n"/>
      <c r="J74" s="52" t="inlineStr">
        <is>
          <t>G5 +6</t>
        </is>
      </c>
      <c r="K74" s="44" t="inlineStr">
        <is>
          <t>－</t>
        </is>
      </c>
      <c r="L74" s="52" t="n">
        <v>301</v>
      </c>
      <c r="M74" s="15" t="n">
        <v>268</v>
      </c>
      <c r="N74" s="15" t="inlineStr">
        <is>
          <t>－</t>
        </is>
      </c>
      <c r="O74" s="44" t="n">
        <v>569</v>
      </c>
      <c r="P74" s="52" t="inlineStr">
        <is>
          <t>－</t>
        </is>
      </c>
      <c r="Q74" s="44" t="inlineStr">
        <is>
          <t>－</t>
        </is>
      </c>
      <c r="R74" s="52" t="inlineStr">
        <is>
          <t>*</t>
        </is>
      </c>
      <c r="S74" s="15" t="inlineStr">
        <is>
          <t>*</t>
        </is>
      </c>
      <c r="T74" s="44" t="inlineStr">
        <is>
          <t>*</t>
        </is>
      </c>
      <c r="U74" s="64" t="inlineStr">
        <is>
          <t>*</t>
        </is>
      </c>
      <c r="V74" s="70" t="inlineStr">
        <is>
          <t>*</t>
        </is>
      </c>
      <c r="W74" s="52" t="n">
        <v>8</v>
      </c>
      <c r="X74" s="15" t="n">
        <v>4</v>
      </c>
      <c r="Y74" s="15" t="n">
        <v>5</v>
      </c>
      <c r="Z74" s="15" t="n"/>
      <c r="AA74" s="25">
        <f>SUM(テーブル13[[#This Row],[Reading正答数（大問1）]:[Reading正答数（大問4）]])</f>
        <v/>
      </c>
      <c r="AB74" s="78">
        <f>テーブル13[[#This Row],[リーディング正答数]]/25</f>
        <v/>
      </c>
      <c r="AC74" s="52" t="n">
        <v>8</v>
      </c>
      <c r="AD74" s="15" t="n">
        <v>4</v>
      </c>
      <c r="AE74" s="15" t="n">
        <v>9</v>
      </c>
      <c r="AF74" s="25">
        <f>SUM(テーブル13[[#This Row],[Listening正答数（大問1）]:[Listening正答数（大問3）]])</f>
        <v/>
      </c>
      <c r="AG74" s="78">
        <f>テーブル13[[#This Row],[Listening正答数]]/25</f>
        <v/>
      </c>
      <c r="AH74" s="94" t="n"/>
      <c r="AI74" s="3" t="n"/>
      <c r="AJ74" s="3" t="n"/>
      <c r="AK74" s="3" t="n"/>
      <c r="AL74" s="3" t="n"/>
      <c r="AM74" s="3" t="n"/>
      <c r="AN74" s="3" t="n"/>
      <c r="AO74" s="3" t="n"/>
      <c r="AP74" s="25" t="n"/>
      <c r="AQ74" s="89" t="n"/>
      <c r="AR74" s="24" t="n"/>
      <c r="AS74" s="3" t="n"/>
      <c r="AT74" s="3" t="n"/>
      <c r="AU74" s="26" t="n"/>
    </row>
    <row r="75" customFormat="1" s="27">
      <c r="A75" s="39" t="n">
        <v>2025</v>
      </c>
      <c r="B75" s="15" t="inlineStr">
        <is>
          <t>第2回</t>
        </is>
      </c>
      <c r="C75" s="15" t="inlineStr">
        <is>
          <t>5級</t>
        </is>
      </c>
      <c r="D75" s="15" t="inlineStr">
        <is>
          <t>小6</t>
        </is>
      </c>
      <c r="E75" s="15" t="inlineStr">
        <is>
          <t>西村 遙人</t>
        </is>
      </c>
      <c r="F75" s="15" t="inlineStr">
        <is>
          <t>無</t>
        </is>
      </c>
      <c r="G75" s="15" t="inlineStr">
        <is>
          <t>合格</t>
        </is>
      </c>
      <c r="H75" s="15" t="inlineStr">
        <is>
          <t>－</t>
        </is>
      </c>
      <c r="I75" s="45" t="n"/>
      <c r="J75" s="52" t="inlineStr">
        <is>
          <t>G5 +9</t>
        </is>
      </c>
      <c r="K75" s="44" t="inlineStr">
        <is>
          <t>－</t>
        </is>
      </c>
      <c r="L75" s="52" t="n">
        <v>330</v>
      </c>
      <c r="M75" s="15" t="n">
        <v>306</v>
      </c>
      <c r="N75" s="15" t="inlineStr">
        <is>
          <t>－</t>
        </is>
      </c>
      <c r="O75" s="44" t="n">
        <v>636</v>
      </c>
      <c r="P75" s="52" t="inlineStr">
        <is>
          <t>－</t>
        </is>
      </c>
      <c r="Q75" s="44" t="inlineStr">
        <is>
          <t>－</t>
        </is>
      </c>
      <c r="R75" s="52" t="inlineStr">
        <is>
          <t>*</t>
        </is>
      </c>
      <c r="S75" s="15" t="inlineStr">
        <is>
          <t>*</t>
        </is>
      </c>
      <c r="T75" s="44" t="inlineStr">
        <is>
          <t>*</t>
        </is>
      </c>
      <c r="U75" s="64" t="inlineStr">
        <is>
          <t>*</t>
        </is>
      </c>
      <c r="V75" s="70" t="inlineStr">
        <is>
          <t>*</t>
        </is>
      </c>
      <c r="W75" s="52" t="n">
        <v>13</v>
      </c>
      <c r="X75" s="15" t="n">
        <v>4</v>
      </c>
      <c r="Y75" s="15" t="n">
        <v>3</v>
      </c>
      <c r="Z75" s="15" t="n"/>
      <c r="AA75" s="25">
        <f>SUM(テーブル13[[#This Row],[Reading正答数（大問1）]:[Reading正答数（大問4）]])</f>
        <v/>
      </c>
      <c r="AB75" s="78">
        <f>テーブル13[[#This Row],[リーディング正答数]]/25</f>
        <v/>
      </c>
      <c r="AC75" s="52" t="n">
        <v>9</v>
      </c>
      <c r="AD75" s="15" t="n">
        <v>5</v>
      </c>
      <c r="AE75" s="15" t="n">
        <v>9</v>
      </c>
      <c r="AF75" s="25">
        <f>SUM(テーブル13[[#This Row],[Listening正答数（大問1）]:[Listening正答数（大問3）]])</f>
        <v/>
      </c>
      <c r="AG75" s="78">
        <f>テーブル13[[#This Row],[Listening正答数]]/25</f>
        <v/>
      </c>
      <c r="AH75" s="94" t="n"/>
      <c r="AI75" s="3" t="n"/>
      <c r="AJ75" s="3" t="n"/>
      <c r="AK75" s="3" t="n"/>
      <c r="AL75" s="3" t="n"/>
      <c r="AM75" s="3" t="n"/>
      <c r="AN75" s="3" t="n"/>
      <c r="AO75" s="3" t="n"/>
      <c r="AP75" s="25" t="n"/>
      <c r="AQ75" s="89" t="n"/>
      <c r="AR75" s="24" t="n"/>
      <c r="AS75" s="3" t="n"/>
      <c r="AT75" s="3" t="n"/>
      <c r="AU75" s="26" t="n"/>
    </row>
    <row r="76" customFormat="1" s="27">
      <c r="A76" s="39" t="n">
        <v>2025</v>
      </c>
      <c r="B76" s="15" t="inlineStr">
        <is>
          <t>第2回</t>
        </is>
      </c>
      <c r="C76" s="15" t="inlineStr">
        <is>
          <t>5級</t>
        </is>
      </c>
      <c r="D76" s="15" t="inlineStr">
        <is>
          <t>小6</t>
        </is>
      </c>
      <c r="E76" s="15" t="inlineStr">
        <is>
          <t>宮本 悠</t>
        </is>
      </c>
      <c r="F76" s="15" t="inlineStr">
        <is>
          <t>無</t>
        </is>
      </c>
      <c r="G76" s="15" t="inlineStr">
        <is>
          <t>合格</t>
        </is>
      </c>
      <c r="H76" s="15" t="inlineStr">
        <is>
          <t>－</t>
        </is>
      </c>
      <c r="I76" s="45" t="n"/>
      <c r="J76" s="52" t="inlineStr">
        <is>
          <t>G5 +11</t>
        </is>
      </c>
      <c r="K76" s="44" t="inlineStr">
        <is>
          <t>－</t>
        </is>
      </c>
      <c r="L76" s="52" t="n">
        <v>342</v>
      </c>
      <c r="M76" s="15" t="n">
        <v>341</v>
      </c>
      <c r="N76" s="15" t="inlineStr">
        <is>
          <t>－</t>
        </is>
      </c>
      <c r="O76" s="44" t="n">
        <v>683</v>
      </c>
      <c r="P76" s="52" t="inlineStr">
        <is>
          <t>－</t>
        </is>
      </c>
      <c r="Q76" s="44" t="inlineStr">
        <is>
          <t>－</t>
        </is>
      </c>
      <c r="R76" s="52" t="inlineStr">
        <is>
          <t>*</t>
        </is>
      </c>
      <c r="S76" s="15" t="inlineStr">
        <is>
          <t>*</t>
        </is>
      </c>
      <c r="T76" s="44" t="inlineStr">
        <is>
          <t>*</t>
        </is>
      </c>
      <c r="U76" s="64" t="inlineStr">
        <is>
          <t>*</t>
        </is>
      </c>
      <c r="V76" s="70" t="inlineStr">
        <is>
          <t>*</t>
        </is>
      </c>
      <c r="W76" s="52" t="n">
        <v>13</v>
      </c>
      <c r="X76" s="15" t="n">
        <v>4</v>
      </c>
      <c r="Y76" s="15" t="n">
        <v>4</v>
      </c>
      <c r="Z76" s="15" t="n"/>
      <c r="AA76" s="25">
        <f>SUM(テーブル13[[#This Row],[Reading正答数（大問1）]:[Reading正答数（大問4）]])</f>
        <v/>
      </c>
      <c r="AB76" s="78">
        <f>テーブル13[[#This Row],[リーディング正答数]]/25</f>
        <v/>
      </c>
      <c r="AC76" s="52" t="n">
        <v>10</v>
      </c>
      <c r="AD76" s="15" t="n">
        <v>4</v>
      </c>
      <c r="AE76" s="15" t="n">
        <v>10</v>
      </c>
      <c r="AF76" s="25">
        <f>SUM(テーブル13[[#This Row],[Listening正答数（大問1）]:[Listening正答数（大問3）]])</f>
        <v/>
      </c>
      <c r="AG76" s="78">
        <f>テーブル13[[#This Row],[Listening正答数]]/25</f>
        <v/>
      </c>
      <c r="AH76" s="94" t="n"/>
      <c r="AI76" s="3" t="n"/>
      <c r="AJ76" s="3" t="n"/>
      <c r="AK76" s="3" t="n"/>
      <c r="AL76" s="3" t="n"/>
      <c r="AM76" s="3" t="n"/>
      <c r="AN76" s="3" t="n"/>
      <c r="AO76" s="3" t="n"/>
      <c r="AP76" s="25" t="n"/>
      <c r="AQ76" s="89" t="n"/>
      <c r="AR76" s="24" t="n"/>
      <c r="AS76" s="3" t="n"/>
      <c r="AT76" s="3" t="n"/>
      <c r="AU76" s="26" t="n"/>
    </row>
    <row r="77" customFormat="1" s="27">
      <c r="A77" s="39" t="n">
        <v>2025</v>
      </c>
      <c r="B77" s="15" t="inlineStr">
        <is>
          <t>第2回</t>
        </is>
      </c>
      <c r="C77" s="15" t="inlineStr">
        <is>
          <t>5級</t>
        </is>
      </c>
      <c r="D77" s="15" t="inlineStr">
        <is>
          <t>小3</t>
        </is>
      </c>
      <c r="E77" s="15" t="inlineStr">
        <is>
          <t>磯﨑 葵</t>
        </is>
      </c>
      <c r="F77" s="15" t="inlineStr">
        <is>
          <t>無</t>
        </is>
      </c>
      <c r="G77" s="15" t="inlineStr">
        <is>
          <t>合格</t>
        </is>
      </c>
      <c r="H77" s="15" t="inlineStr">
        <is>
          <t>－</t>
        </is>
      </c>
      <c r="I77" s="45" t="n"/>
      <c r="J77" s="52" t="inlineStr">
        <is>
          <t>G5 +8</t>
        </is>
      </c>
      <c r="K77" s="44" t="inlineStr">
        <is>
          <t>－</t>
        </is>
      </c>
      <c r="L77" s="52" t="n">
        <v>269</v>
      </c>
      <c r="M77" s="15" t="n">
        <v>341</v>
      </c>
      <c r="N77" s="15" t="inlineStr">
        <is>
          <t>－</t>
        </is>
      </c>
      <c r="O77" s="44" t="n">
        <v>610</v>
      </c>
      <c r="P77" s="52" t="inlineStr">
        <is>
          <t>－</t>
        </is>
      </c>
      <c r="Q77" s="44" t="inlineStr">
        <is>
          <t>－</t>
        </is>
      </c>
      <c r="R77" s="52" t="inlineStr">
        <is>
          <t>*</t>
        </is>
      </c>
      <c r="S77" s="15" t="inlineStr">
        <is>
          <t>*</t>
        </is>
      </c>
      <c r="T77" s="44" t="inlineStr">
        <is>
          <t>*</t>
        </is>
      </c>
      <c r="U77" s="64" t="inlineStr">
        <is>
          <t>*</t>
        </is>
      </c>
      <c r="V77" s="70" t="inlineStr">
        <is>
          <t>*</t>
        </is>
      </c>
      <c r="W77" s="52" t="n">
        <v>6</v>
      </c>
      <c r="X77" s="15" t="n">
        <v>4</v>
      </c>
      <c r="Y77" s="15" t="n">
        <v>3</v>
      </c>
      <c r="Z77" s="15" t="n"/>
      <c r="AA77" s="25">
        <f>SUM(テーブル13[[#This Row],[Reading正答数（大問1）]:[Reading正答数（大問4）]])</f>
        <v/>
      </c>
      <c r="AB77" s="78">
        <f>テーブル13[[#This Row],[リーディング正答数]]/25</f>
        <v/>
      </c>
      <c r="AC77" s="52" t="n">
        <v>9</v>
      </c>
      <c r="AD77" s="15" t="n">
        <v>5</v>
      </c>
      <c r="AE77" s="15" t="n">
        <v>10</v>
      </c>
      <c r="AF77" s="25">
        <f>SUM(テーブル13[[#This Row],[Listening正答数（大問1）]:[Listening正答数（大問3）]])</f>
        <v/>
      </c>
      <c r="AG77" s="78">
        <f>テーブル13[[#This Row],[Listening正答数]]/25</f>
        <v/>
      </c>
      <c r="AH77" s="94" t="n"/>
      <c r="AI77" s="3" t="n"/>
      <c r="AJ77" s="3" t="n"/>
      <c r="AK77" s="3" t="n"/>
      <c r="AL77" s="3" t="n"/>
      <c r="AM77" s="3" t="n"/>
      <c r="AN77" s="3" t="n"/>
      <c r="AO77" s="3" t="n"/>
      <c r="AP77" s="25" t="n"/>
      <c r="AQ77" s="89" t="n"/>
      <c r="AR77" s="24" t="n"/>
      <c r="AS77" s="3" t="n"/>
      <c r="AT77" s="3" t="n"/>
      <c r="AU77" s="26" t="n"/>
    </row>
    <row r="78" customFormat="1" s="27">
      <c r="A78" s="39" t="n">
        <v>2025</v>
      </c>
      <c r="B78" s="15" t="inlineStr">
        <is>
          <t>第2回</t>
        </is>
      </c>
      <c r="C78" s="15" t="inlineStr">
        <is>
          <t>5級</t>
        </is>
      </c>
      <c r="D78" s="15" t="inlineStr">
        <is>
          <t>小5</t>
        </is>
      </c>
      <c r="E78" s="15" t="inlineStr">
        <is>
          <t>梶 志織</t>
        </is>
      </c>
      <c r="F78" s="15" t="inlineStr">
        <is>
          <t>無</t>
        </is>
      </c>
      <c r="G78" s="15" t="inlineStr">
        <is>
          <t>合格</t>
        </is>
      </c>
      <c r="H78" s="15" t="inlineStr">
        <is>
          <t>－</t>
        </is>
      </c>
      <c r="I78" s="45" t="n"/>
      <c r="J78" s="52" t="inlineStr">
        <is>
          <t>G5 +13</t>
        </is>
      </c>
      <c r="K78" s="44" t="inlineStr">
        <is>
          <t>－</t>
        </is>
      </c>
      <c r="L78" s="52" t="n">
        <v>330</v>
      </c>
      <c r="M78" s="15" t="n">
        <v>425</v>
      </c>
      <c r="N78" s="15" t="inlineStr">
        <is>
          <t>－</t>
        </is>
      </c>
      <c r="O78" s="44" t="n">
        <v>755</v>
      </c>
      <c r="P78" s="52" t="inlineStr">
        <is>
          <t>－</t>
        </is>
      </c>
      <c r="Q78" s="44" t="inlineStr">
        <is>
          <t>－</t>
        </is>
      </c>
      <c r="R78" s="52" t="inlineStr">
        <is>
          <t>*</t>
        </is>
      </c>
      <c r="S78" s="15" t="inlineStr">
        <is>
          <t>*</t>
        </is>
      </c>
      <c r="T78" s="44" t="inlineStr">
        <is>
          <t>*</t>
        </is>
      </c>
      <c r="U78" s="64" t="inlineStr">
        <is>
          <t>*</t>
        </is>
      </c>
      <c r="V78" s="70" t="inlineStr">
        <is>
          <t>*</t>
        </is>
      </c>
      <c r="W78" s="52" t="n">
        <v>12</v>
      </c>
      <c r="X78" s="15" t="n">
        <v>4</v>
      </c>
      <c r="Y78" s="15" t="n">
        <v>4</v>
      </c>
      <c r="Z78" s="15" t="n"/>
      <c r="AA78" s="25">
        <f>SUM(テーブル13[[#This Row],[Reading正答数（大問1）]:[Reading正答数（大問4）]])</f>
        <v/>
      </c>
      <c r="AB78" s="78">
        <f>テーブル13[[#This Row],[リーディング正答数]]/25</f>
        <v/>
      </c>
      <c r="AC78" s="52" t="n">
        <v>10</v>
      </c>
      <c r="AD78" s="15" t="n">
        <v>5</v>
      </c>
      <c r="AE78" s="15" t="n">
        <v>10</v>
      </c>
      <c r="AF78" s="25">
        <f>SUM(テーブル13[[#This Row],[Listening正答数（大問1）]:[Listening正答数（大問3）]])</f>
        <v/>
      </c>
      <c r="AG78" s="78">
        <f>テーブル13[[#This Row],[Listening正答数]]/25</f>
        <v/>
      </c>
      <c r="AH78" s="94" t="n"/>
      <c r="AI78" s="3" t="n"/>
      <c r="AJ78" s="3" t="n"/>
      <c r="AK78" s="3" t="n"/>
      <c r="AL78" s="3" t="n"/>
      <c r="AM78" s="3" t="n"/>
      <c r="AN78" s="3" t="n"/>
      <c r="AO78" s="3" t="n"/>
      <c r="AP78" s="25" t="n"/>
      <c r="AQ78" s="89" t="n"/>
      <c r="AR78" s="24" t="n"/>
      <c r="AS78" s="3" t="n"/>
      <c r="AT78" s="3" t="n"/>
      <c r="AU78" s="26" t="n"/>
    </row>
    <row r="79">
      <c r="A79" s="39" t="n">
        <v>2025</v>
      </c>
      <c r="B79" s="15" t="inlineStr">
        <is>
          <t>第2回</t>
        </is>
      </c>
      <c r="C79" s="15" t="inlineStr">
        <is>
          <t>5級</t>
        </is>
      </c>
      <c r="D79" s="15" t="inlineStr">
        <is>
          <t>小3</t>
        </is>
      </c>
      <c r="E79" s="15" t="inlineStr">
        <is>
          <t>山田 依千</t>
        </is>
      </c>
      <c r="F79" s="15" t="inlineStr">
        <is>
          <t>無</t>
        </is>
      </c>
      <c r="G79" s="15" t="inlineStr">
        <is>
          <t>不合格</t>
        </is>
      </c>
      <c r="H79" s="15" t="inlineStr">
        <is>
          <t>－</t>
        </is>
      </c>
      <c r="I79" s="45" t="n"/>
      <c r="J79" s="52" t="inlineStr">
        <is>
          <t>G5 -1</t>
        </is>
      </c>
      <c r="K79" s="44" t="inlineStr">
        <is>
          <t>－</t>
        </is>
      </c>
      <c r="L79" s="52" t="n">
        <v>200</v>
      </c>
      <c r="M79" s="15" t="n">
        <v>211</v>
      </c>
      <c r="N79" s="15" t="inlineStr">
        <is>
          <t>－</t>
        </is>
      </c>
      <c r="O79" s="44" t="n">
        <v>411</v>
      </c>
      <c r="P79" s="52" t="inlineStr">
        <is>
          <t>－</t>
        </is>
      </c>
      <c r="Q79" s="44" t="inlineStr">
        <is>
          <t>－</t>
        </is>
      </c>
      <c r="R79" s="52" t="inlineStr">
        <is>
          <t>*</t>
        </is>
      </c>
      <c r="S79" s="15" t="inlineStr">
        <is>
          <t>*</t>
        </is>
      </c>
      <c r="T79" s="44" t="inlineStr">
        <is>
          <t>*</t>
        </is>
      </c>
      <c r="U79" s="64" t="inlineStr">
        <is>
          <t>*</t>
        </is>
      </c>
      <c r="V79" s="70" t="inlineStr">
        <is>
          <t>*</t>
        </is>
      </c>
      <c r="W79" s="52" t="n">
        <v>4</v>
      </c>
      <c r="X79" s="15" t="n">
        <v>0</v>
      </c>
      <c r="Y79" s="15" t="n">
        <v>1</v>
      </c>
      <c r="Z79" s="15" t="n"/>
      <c r="AA79" s="10">
        <f>SUM(テーブル13[[#This Row],[Reading正答数（大問1）]:[Reading正答数（大問4）]])</f>
        <v/>
      </c>
      <c r="AB79" s="77">
        <f>テーブル13[[#This Row],[リーディング正答数]]/25</f>
        <v/>
      </c>
      <c r="AC79" s="52" t="n">
        <v>5</v>
      </c>
      <c r="AD79" s="15" t="n">
        <v>2</v>
      </c>
      <c r="AE79" s="15" t="n">
        <v>9</v>
      </c>
      <c r="AF79" s="10">
        <f>SUM(テーブル13[[#This Row],[Listening正答数（大問1）]:[Listening正答数（大問3）]])</f>
        <v/>
      </c>
      <c r="AG79" s="77">
        <f>テーブル13[[#This Row],[Listening正答数]]/25</f>
        <v/>
      </c>
      <c r="AH79" s="95" t="n"/>
      <c r="AI79" s="2" t="n"/>
      <c r="AJ79" s="2" t="n"/>
      <c r="AK79" s="2" t="n"/>
      <c r="AL79" s="2" t="n"/>
      <c r="AM79" s="2" t="n"/>
      <c r="AN79" s="2" t="n"/>
      <c r="AO79" s="2" t="n"/>
      <c r="AP79" s="10" t="n"/>
      <c r="AQ79" s="88" t="n"/>
      <c r="AR79" s="6" t="n"/>
      <c r="AS79" s="2" t="n"/>
      <c r="AT79" s="2" t="n"/>
      <c r="AU79" s="22" t="n"/>
    </row>
    <row r="80" customFormat="1" s="27">
      <c r="A80" s="39" t="n">
        <v>2025</v>
      </c>
      <c r="B80" s="15" t="inlineStr">
        <is>
          <t>第2回</t>
        </is>
      </c>
      <c r="C80" s="15" t="inlineStr">
        <is>
          <t>5級</t>
        </is>
      </c>
      <c r="D80" s="15" t="inlineStr">
        <is>
          <t>小6</t>
        </is>
      </c>
      <c r="E80" s="15" t="inlineStr">
        <is>
          <t>伊川 朝陽</t>
        </is>
      </c>
      <c r="F80" s="15" t="inlineStr">
        <is>
          <t>無</t>
        </is>
      </c>
      <c r="G80" s="15" t="inlineStr">
        <is>
          <t>合格</t>
        </is>
      </c>
      <c r="H80" s="15" t="inlineStr">
        <is>
          <t>－</t>
        </is>
      </c>
      <c r="I80" s="45" t="n"/>
      <c r="J80" s="52" t="inlineStr">
        <is>
          <t>G5 +3</t>
        </is>
      </c>
      <c r="K80" s="44" t="inlineStr">
        <is>
          <t>－</t>
        </is>
      </c>
      <c r="L80" s="52" t="n">
        <v>292</v>
      </c>
      <c r="M80" s="15" t="n">
        <v>202</v>
      </c>
      <c r="N80" s="15" t="inlineStr">
        <is>
          <t>－</t>
        </is>
      </c>
      <c r="O80" s="44" t="n">
        <v>494</v>
      </c>
      <c r="P80" s="52" t="inlineStr">
        <is>
          <t>－</t>
        </is>
      </c>
      <c r="Q80" s="44" t="inlineStr">
        <is>
          <t>－</t>
        </is>
      </c>
      <c r="R80" s="52" t="inlineStr">
        <is>
          <t>*</t>
        </is>
      </c>
      <c r="S80" s="15" t="inlineStr">
        <is>
          <t>*</t>
        </is>
      </c>
      <c r="T80" s="44" t="inlineStr">
        <is>
          <t>*</t>
        </is>
      </c>
      <c r="U80" s="64" t="inlineStr">
        <is>
          <t>*</t>
        </is>
      </c>
      <c r="V80" s="70" t="inlineStr">
        <is>
          <t>*</t>
        </is>
      </c>
      <c r="W80" s="52" t="n">
        <v>10</v>
      </c>
      <c r="X80" s="15" t="n">
        <v>3</v>
      </c>
      <c r="Y80" s="15" t="n">
        <v>3</v>
      </c>
      <c r="Z80" s="15" t="n"/>
      <c r="AA80" s="25">
        <f>SUM(テーブル13[[#This Row],[Reading正答数（大問1）]:[Reading正答数（大問4）]])</f>
        <v/>
      </c>
      <c r="AB80" s="78">
        <f>テーブル13[[#This Row],[リーディング正答数]]/25</f>
        <v/>
      </c>
      <c r="AC80" s="52" t="n">
        <v>3</v>
      </c>
      <c r="AD80" s="15" t="n">
        <v>3</v>
      </c>
      <c r="AE80" s="15" t="n">
        <v>9</v>
      </c>
      <c r="AF80" s="25">
        <f>SUM(テーブル13[[#This Row],[Listening正答数（大問1）]:[Listening正答数（大問3）]])</f>
        <v/>
      </c>
      <c r="AG80" s="78">
        <f>テーブル13[[#This Row],[Listening正答数]]/25</f>
        <v/>
      </c>
      <c r="AH80" s="94" t="n"/>
      <c r="AI80" s="3" t="n"/>
      <c r="AJ80" s="3" t="n"/>
      <c r="AK80" s="3" t="n"/>
      <c r="AL80" s="3" t="n"/>
      <c r="AM80" s="3" t="n"/>
      <c r="AN80" s="3" t="n"/>
      <c r="AO80" s="3" t="n"/>
      <c r="AP80" s="25" t="n"/>
      <c r="AQ80" s="89" t="n"/>
      <c r="AR80" s="24" t="n"/>
      <c r="AS80" s="3" t="n"/>
      <c r="AT80" s="3" t="n"/>
      <c r="AU80" s="26" t="n"/>
    </row>
    <row r="81" ht="19.5" customFormat="1" customHeight="1" s="27" thickBot="1">
      <c r="A81" s="43" t="n">
        <v>2025</v>
      </c>
      <c r="B81" s="19" t="inlineStr">
        <is>
          <t>第2回</t>
        </is>
      </c>
      <c r="C81" s="19" t="inlineStr">
        <is>
          <t>5級</t>
        </is>
      </c>
      <c r="D81" s="19" t="inlineStr">
        <is>
          <t>小2</t>
        </is>
      </c>
      <c r="E81" s="19" t="inlineStr">
        <is>
          <t>佐藤 有華</t>
        </is>
      </c>
      <c r="F81" s="19" t="inlineStr">
        <is>
          <t>無</t>
        </is>
      </c>
      <c r="G81" s="19" t="inlineStr">
        <is>
          <t>合格</t>
        </is>
      </c>
      <c r="H81" s="19" t="inlineStr">
        <is>
          <t>－</t>
        </is>
      </c>
      <c r="I81" s="49" t="n"/>
      <c r="J81" s="59" t="inlineStr">
        <is>
          <t>G5 +3</t>
        </is>
      </c>
      <c r="K81" s="60" t="inlineStr">
        <is>
          <t>－</t>
        </is>
      </c>
      <c r="L81" s="59" t="n">
        <v>269</v>
      </c>
      <c r="M81" s="62" t="n">
        <v>221</v>
      </c>
      <c r="N81" s="62" t="inlineStr">
        <is>
          <t>－</t>
        </is>
      </c>
      <c r="O81" s="60" t="n">
        <v>490</v>
      </c>
      <c r="P81" s="59" t="inlineStr">
        <is>
          <t>－</t>
        </is>
      </c>
      <c r="Q81" s="60" t="inlineStr">
        <is>
          <t>－</t>
        </is>
      </c>
      <c r="R81" s="59" t="inlineStr">
        <is>
          <t>*</t>
        </is>
      </c>
      <c r="S81" s="62" t="inlineStr">
        <is>
          <t>*</t>
        </is>
      </c>
      <c r="T81" s="60" t="inlineStr">
        <is>
          <t>*</t>
        </is>
      </c>
      <c r="U81" s="68" t="inlineStr">
        <is>
          <t>*</t>
        </is>
      </c>
      <c r="V81" s="74" t="inlineStr">
        <is>
          <t>*</t>
        </is>
      </c>
      <c r="W81" s="59" t="n">
        <v>7</v>
      </c>
      <c r="X81" s="62" t="n">
        <v>2</v>
      </c>
      <c r="Y81" s="62" t="n">
        <v>4</v>
      </c>
      <c r="Z81" s="62" t="n"/>
      <c r="AA81" s="85">
        <f>SUM(テーブル13[[#This Row],[Reading正答数（大問1）]:[Reading正答数（大問4）]])</f>
        <v/>
      </c>
      <c r="AB81" s="86">
        <f>テーブル13[[#This Row],[リーディング正答数]]/25</f>
        <v/>
      </c>
      <c r="AC81" s="59" t="n">
        <v>5</v>
      </c>
      <c r="AD81" s="62" t="n">
        <v>3</v>
      </c>
      <c r="AE81" s="62" t="n">
        <v>9</v>
      </c>
      <c r="AF81" s="85">
        <f>SUM(テーブル13[[#This Row],[Listening正答数（大問1）]:[Listening正答数（大問3）]])</f>
        <v/>
      </c>
      <c r="AG81" s="86">
        <f>テーブル13[[#This Row],[Listening正答数]]/25</f>
        <v/>
      </c>
      <c r="AH81" s="98" t="n"/>
      <c r="AI81" s="99" t="n"/>
      <c r="AJ81" s="99" t="n"/>
      <c r="AK81" s="99" t="n"/>
      <c r="AL81" s="99" t="n"/>
      <c r="AM81" s="99" t="n"/>
      <c r="AN81" s="99" t="n"/>
      <c r="AO81" s="99" t="n"/>
      <c r="AP81" s="85" t="n"/>
      <c r="AQ81" s="100" t="n"/>
      <c r="AR81" s="36" t="n"/>
      <c r="AS81" s="37" t="n"/>
      <c r="AT81" s="37" t="n"/>
      <c r="AU81" s="38" t="n"/>
    </row>
    <row r="82">
      <c r="A82" t="n">
        <v>2025</v>
      </c>
      <c r="B82" t="inlineStr">
        <is>
          <t>第3回</t>
        </is>
      </c>
      <c r="C82" t="inlineStr">
        <is>
          <t>4級</t>
        </is>
      </c>
      <c r="E82" t="inlineStr">
        <is>
          <t>磯﨑 葵</t>
        </is>
      </c>
      <c r="F82" t="inlineStr">
        <is>
          <t>無</t>
        </is>
      </c>
      <c r="G82" t="inlineStr">
        <is>
          <t>合格</t>
        </is>
      </c>
      <c r="H82" t="inlineStr">
        <is>
          <t>－</t>
        </is>
      </c>
      <c r="J82" t="inlineStr">
        <is>
          <t>G4 +4</t>
        </is>
      </c>
      <c r="K82" t="inlineStr">
        <is>
          <t>－</t>
        </is>
      </c>
      <c r="L82" t="n">
        <v>334</v>
      </c>
      <c r="M82" t="n">
        <v>372</v>
      </c>
      <c r="N82" t="inlineStr">
        <is>
          <t>－</t>
        </is>
      </c>
      <c r="O82" t="n">
        <v>706</v>
      </c>
      <c r="P82" t="inlineStr">
        <is>
          <t>－</t>
        </is>
      </c>
      <c r="Q82" t="inlineStr">
        <is>
          <t>－</t>
        </is>
      </c>
      <c r="R82" t="inlineStr">
        <is>
          <t>*</t>
        </is>
      </c>
      <c r="S82" t="inlineStr">
        <is>
          <t>*</t>
        </is>
      </c>
      <c r="T82" t="inlineStr">
        <is>
          <t>*</t>
        </is>
      </c>
      <c r="U82" t="inlineStr">
        <is>
          <t>*</t>
        </is>
      </c>
      <c r="V82" t="inlineStr">
        <is>
          <t>*</t>
        </is>
      </c>
      <c r="W82" t="n">
        <v>7</v>
      </c>
      <c r="X82" t="n">
        <v>4</v>
      </c>
      <c r="Y82" t="n">
        <v>3</v>
      </c>
      <c r="Z82" t="n">
        <v>8</v>
      </c>
      <c r="AA82">
        <f>SUM(テーブル13[[#This Row],[Reading正答数（大問1）]:[Reading正答数（大問4）]])</f>
        <v/>
      </c>
      <c r="AB82">
        <f>テーブル13[[#This Row],[リーディング正答数]]/35</f>
        <v/>
      </c>
      <c r="AC82" t="n">
        <v>9</v>
      </c>
      <c r="AD82" t="n">
        <v>9</v>
      </c>
      <c r="AE82" t="n">
        <v>8</v>
      </c>
      <c r="AF82">
        <f>SUM(テーブル13[[#This Row],[Listening正答数（大問1）]:[Listening正答数（大問3）]])</f>
        <v/>
      </c>
      <c r="AG82">
        <f>テーブル13[[#This Row],[Listening正答数]]/30</f>
        <v/>
      </c>
    </row>
    <row r="83">
      <c r="A83" t="n">
        <v>2025</v>
      </c>
      <c r="B83" t="inlineStr">
        <is>
          <t>第3回</t>
        </is>
      </c>
      <c r="C83" t="inlineStr">
        <is>
          <t>2級</t>
        </is>
      </c>
      <c r="D83" t="inlineStr">
        <is>
          <t>高1</t>
        </is>
      </c>
      <c r="E83" t="inlineStr">
        <is>
          <t>舛谷 花音</t>
        </is>
      </c>
      <c r="F83" t="inlineStr">
        <is>
          <t>無</t>
        </is>
      </c>
      <c r="G83" t="inlineStr">
        <is>
          <t>合格</t>
        </is>
      </c>
      <c r="J83" t="inlineStr">
        <is>
          <t>G2 +1</t>
        </is>
      </c>
      <c r="K83" t="inlineStr">
        <is>
          <t>－</t>
        </is>
      </c>
      <c r="L83" t="n">
        <v>477</v>
      </c>
      <c r="M83" t="n">
        <v>559</v>
      </c>
      <c r="N83" t="n">
        <v>501</v>
      </c>
      <c r="O83" t="n">
        <v>1537</v>
      </c>
      <c r="P83" t="inlineStr">
        <is>
          <t>－</t>
        </is>
      </c>
      <c r="Q83" t="inlineStr">
        <is>
          <t>－</t>
        </is>
      </c>
      <c r="R83" t="inlineStr">
        <is>
          <t>A2</t>
        </is>
      </c>
      <c r="S83" t="inlineStr">
        <is>
          <t>B1</t>
        </is>
      </c>
      <c r="T83" t="inlineStr">
        <is>
          <t>B1</t>
        </is>
      </c>
      <c r="U83" t="inlineStr">
        <is>
          <t>－</t>
        </is>
      </c>
      <c r="V83" t="inlineStr">
        <is>
          <t>－</t>
        </is>
      </c>
      <c r="W83" t="n">
        <v>5</v>
      </c>
      <c r="X83" t="n">
        <v>4</v>
      </c>
      <c r="Y83" t="n">
        <v>3</v>
      </c>
      <c r="AA83">
        <f>SUM(テーブル13[[#This Row],[Reading正答数（大問1）]:[Reading正答数（大問4）]])</f>
        <v/>
      </c>
      <c r="AB83">
        <f>テーブル13[[#This Row],[リーディング正答数]]/31</f>
        <v/>
      </c>
      <c r="AC83" t="n">
        <v>14</v>
      </c>
      <c r="AD83" t="n">
        <v>13</v>
      </c>
      <c r="AF83">
        <f>SUM(テーブル13[[#This Row],[Listening正答数（大問1）]:[Listening正答数（大問3）]])</f>
        <v/>
      </c>
      <c r="AG83">
        <f>テーブル13[[#This Row],[Listening正答数]]/30</f>
        <v/>
      </c>
      <c r="AH83" t="n">
        <v>3</v>
      </c>
      <c r="AI83" t="n">
        <v>2</v>
      </c>
      <c r="AJ83" t="n">
        <v>3</v>
      </c>
      <c r="AK83" t="n">
        <v>2</v>
      </c>
      <c r="AL83" t="n">
        <v>3</v>
      </c>
      <c r="AM83" t="n">
        <v>3</v>
      </c>
      <c r="AN83" t="n">
        <v>3</v>
      </c>
      <c r="AO83" t="n">
        <v>3</v>
      </c>
      <c r="AP83">
        <f>SUM(テーブル13[[#This Row],[Writing設問1スコア（内容）]:[Writing設問2スコア（文法）]])</f>
        <v/>
      </c>
    </row>
    <row r="84">
      <c r="A84" t="n">
        <v>2025</v>
      </c>
      <c r="B84" t="inlineStr">
        <is>
          <t>第3回</t>
        </is>
      </c>
      <c r="C84" t="inlineStr">
        <is>
          <t>準2級</t>
        </is>
      </c>
      <c r="D84" t="inlineStr">
        <is>
          <t>高1</t>
        </is>
      </c>
      <c r="E84" t="inlineStr">
        <is>
          <t>小林 美菜</t>
        </is>
      </c>
      <c r="F84" t="inlineStr">
        <is>
          <t>有</t>
        </is>
      </c>
      <c r="G84" t="inlineStr">
        <is>
          <t>一次免除</t>
        </is>
      </c>
      <c r="J84" t="inlineStr">
        <is>
          <t>GP2 +5</t>
        </is>
      </c>
      <c r="K84" t="inlineStr">
        <is>
          <t>－</t>
        </is>
      </c>
      <c r="L84" t="n">
        <v>498</v>
      </c>
      <c r="M84" t="n">
        <v>436</v>
      </c>
      <c r="N84" t="n">
        <v>501</v>
      </c>
      <c r="O84" t="n">
        <v>1435</v>
      </c>
      <c r="P84" t="inlineStr">
        <is>
          <t>－</t>
        </is>
      </c>
      <c r="Q84" t="inlineStr">
        <is>
          <t>－</t>
        </is>
      </c>
      <c r="R84" t="inlineStr">
        <is>
          <t>A2</t>
        </is>
      </c>
      <c r="S84" t="inlineStr">
        <is>
          <t>A1</t>
        </is>
      </c>
      <c r="T84" t="inlineStr">
        <is>
          <t>A2</t>
        </is>
      </c>
      <c r="U84" t="inlineStr">
        <is>
          <t>－</t>
        </is>
      </c>
      <c r="V84" t="inlineStr">
        <is>
          <t>－</t>
        </is>
      </c>
      <c r="AA84" t="inlineStr">
        <is>
          <t>-</t>
        </is>
      </c>
      <c r="AB84" t="inlineStr">
        <is>
          <t>-</t>
        </is>
      </c>
      <c r="AF84" t="inlineStr">
        <is>
          <t>-</t>
        </is>
      </c>
      <c r="AG84" t="inlineStr">
        <is>
          <t>-</t>
        </is>
      </c>
      <c r="AP84" t="inlineStr">
        <is>
          <t>-</t>
        </is>
      </c>
      <c r="AU84" t="inlineStr">
        <is>
          <t>-</t>
        </is>
      </c>
    </row>
    <row r="85">
      <c r="A85" t="n">
        <v>2025</v>
      </c>
      <c r="B85" t="inlineStr">
        <is>
          <t>第3回</t>
        </is>
      </c>
      <c r="C85" t="inlineStr">
        <is>
          <t>2級</t>
        </is>
      </c>
      <c r="D85" t="inlineStr">
        <is>
          <t>高1</t>
        </is>
      </c>
      <c r="E85" t="inlineStr">
        <is>
          <t>岩佐 叡都</t>
        </is>
      </c>
      <c r="F85" t="inlineStr">
        <is>
          <t>無</t>
        </is>
      </c>
      <c r="G85" t="inlineStr">
        <is>
          <t>不合格</t>
        </is>
      </c>
      <c r="H85" t="inlineStr">
        <is>
          <t>－</t>
        </is>
      </c>
      <c r="J85" t="inlineStr">
        <is>
          <t>G2 -8</t>
        </is>
      </c>
      <c r="K85" t="inlineStr">
        <is>
          <t>－</t>
        </is>
      </c>
      <c r="L85" t="n">
        <v>488</v>
      </c>
      <c r="M85" t="n">
        <v>419</v>
      </c>
      <c r="N85" t="n">
        <v>417</v>
      </c>
      <c r="O85" t="n">
        <v>1324</v>
      </c>
      <c r="P85" t="inlineStr">
        <is>
          <t>－</t>
        </is>
      </c>
      <c r="Q85" t="inlineStr">
        <is>
          <t>－</t>
        </is>
      </c>
      <c r="R85" t="inlineStr">
        <is>
          <t>A2</t>
        </is>
      </c>
      <c r="S85" t="inlineStr">
        <is>
          <t>－</t>
        </is>
      </c>
      <c r="T85" t="inlineStr">
        <is>
          <t>A2</t>
        </is>
      </c>
      <c r="U85" t="inlineStr">
        <is>
          <t>－</t>
        </is>
      </c>
      <c r="V85" t="inlineStr">
        <is>
          <t>－</t>
        </is>
      </c>
      <c r="W85" t="n">
        <v>7</v>
      </c>
      <c r="X85" t="n">
        <v>3</v>
      </c>
      <c r="Y85" t="n">
        <v>4</v>
      </c>
      <c r="AA85">
        <f>SUM(テーブル13[[#This Row],[Reading正答数（大問1）]:[Reading正答数（大問4）]])</f>
        <v/>
      </c>
      <c r="AB85">
        <f>テーブル13[[#This Row],[リーディング正答数]]/31</f>
        <v/>
      </c>
      <c r="AC85" t="n">
        <v>7</v>
      </c>
      <c r="AD85" t="n">
        <v>4</v>
      </c>
      <c r="AF85">
        <f>SUM(テーブル13[[#This Row],[Listening正答数（大問1）]:[Listening正答数（大問3）]])</f>
        <v/>
      </c>
      <c r="AG85">
        <f>テーブル13[[#This Row],[Listening正答数]]/30</f>
        <v/>
      </c>
      <c r="AH85" t="n">
        <v>1</v>
      </c>
      <c r="AI85" t="n">
        <v>1</v>
      </c>
      <c r="AJ85" t="n">
        <v>1</v>
      </c>
      <c r="AK85" t="n">
        <v>1</v>
      </c>
      <c r="AL85" t="n">
        <v>2</v>
      </c>
      <c r="AM85" t="n">
        <v>3</v>
      </c>
      <c r="AN85" t="n">
        <v>3</v>
      </c>
      <c r="AO85" t="n">
        <v>2</v>
      </c>
      <c r="AP85">
        <f>SUM(テーブル13[[#This Row],[Writing設問1スコア（内容）]:[Writing設問2スコア（文法）]])</f>
        <v/>
      </c>
    </row>
    <row r="86">
      <c r="A86" t="n">
        <v>2025</v>
      </c>
      <c r="B86" t="inlineStr">
        <is>
          <t>第3回</t>
        </is>
      </c>
      <c r="C86" t="inlineStr">
        <is>
          <t>2級</t>
        </is>
      </c>
      <c r="D86" t="inlineStr">
        <is>
          <t>高1</t>
        </is>
      </c>
      <c r="E86" t="inlineStr">
        <is>
          <t>竹田 心結</t>
        </is>
      </c>
      <c r="F86" t="inlineStr">
        <is>
          <t>無</t>
        </is>
      </c>
      <c r="G86" t="inlineStr">
        <is>
          <t>不合格</t>
        </is>
      </c>
      <c r="H86" t="inlineStr">
        <is>
          <t>－</t>
        </is>
      </c>
      <c r="J86" t="inlineStr">
        <is>
          <t>G2 -4</t>
        </is>
      </c>
      <c r="K86" t="inlineStr">
        <is>
          <t>－</t>
        </is>
      </c>
      <c r="L86" t="n">
        <v>494</v>
      </c>
      <c r="M86" t="n">
        <v>441</v>
      </c>
      <c r="N86" t="n">
        <v>488</v>
      </c>
      <c r="O86" t="n">
        <v>1423</v>
      </c>
      <c r="P86" t="inlineStr">
        <is>
          <t>－</t>
        </is>
      </c>
      <c r="Q86" t="inlineStr">
        <is>
          <t>－</t>
        </is>
      </c>
      <c r="R86" t="inlineStr">
        <is>
          <t>A2</t>
        </is>
      </c>
      <c r="S86" t="inlineStr">
        <is>
          <t>－</t>
        </is>
      </c>
      <c r="T86" t="inlineStr">
        <is>
          <t>B1</t>
        </is>
      </c>
      <c r="U86" t="inlineStr">
        <is>
          <t>－</t>
        </is>
      </c>
      <c r="V86" t="inlineStr">
        <is>
          <t>－</t>
        </is>
      </c>
      <c r="W86" t="n">
        <v>10</v>
      </c>
      <c r="X86" t="n">
        <v>4</v>
      </c>
      <c r="Y86" t="n">
        <v>1</v>
      </c>
      <c r="AA86">
        <f>SUM(テーブル13[[#This Row],[Reading正答数（大問1）]:[Reading正答数（大問4）]])</f>
        <v/>
      </c>
      <c r="AB86">
        <f>テーブル13[[#This Row],[リーディング正答数]]/31</f>
        <v/>
      </c>
      <c r="AC86" t="n">
        <v>9</v>
      </c>
      <c r="AD86" t="n">
        <v>5</v>
      </c>
      <c r="AF86">
        <f>SUM(テーブル13[[#This Row],[Listening正答数（大問1）]:[Listening正答数（大問3）]])</f>
        <v/>
      </c>
      <c r="AG86">
        <f>テーブル13[[#This Row],[Listening正答数]]/30</f>
        <v/>
      </c>
      <c r="AH86" t="n">
        <v>2</v>
      </c>
      <c r="AI86" t="n">
        <v>2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2</v>
      </c>
      <c r="AP86">
        <f>SUM(テーブル13[[#This Row],[Writing設問1スコア（内容）]:[Writing設問2スコア（文法）]])</f>
        <v/>
      </c>
    </row>
    <row r="87">
      <c r="A87" t="n">
        <v>2025</v>
      </c>
      <c r="B87" t="inlineStr">
        <is>
          <t>第3回</t>
        </is>
      </c>
      <c r="C87" t="inlineStr">
        <is>
          <t>2級</t>
        </is>
      </c>
      <c r="D87" t="inlineStr">
        <is>
          <t>高1</t>
        </is>
      </c>
      <c r="E87" t="inlineStr">
        <is>
          <t>宮川 夏実</t>
        </is>
      </c>
      <c r="F87" t="inlineStr">
        <is>
          <t>無</t>
        </is>
      </c>
      <c r="G87" t="inlineStr">
        <is>
          <t>合格</t>
        </is>
      </c>
      <c r="J87" t="inlineStr">
        <is>
          <t>G2 +4</t>
        </is>
      </c>
      <c r="K87" t="inlineStr">
        <is>
          <t>－</t>
        </is>
      </c>
      <c r="L87" t="n">
        <v>536</v>
      </c>
      <c r="M87" t="n">
        <v>580</v>
      </c>
      <c r="N87" t="n">
        <v>501</v>
      </c>
      <c r="O87" t="n">
        <v>1617</v>
      </c>
      <c r="P87" t="inlineStr">
        <is>
          <t>－</t>
        </is>
      </c>
      <c r="Q87" t="inlineStr">
        <is>
          <t>－</t>
        </is>
      </c>
      <c r="R87" t="inlineStr">
        <is>
          <t>B1</t>
        </is>
      </c>
      <c r="S87" t="inlineStr">
        <is>
          <t>B1</t>
        </is>
      </c>
      <c r="T87" t="inlineStr">
        <is>
          <t>B1</t>
        </is>
      </c>
      <c r="U87" t="inlineStr">
        <is>
          <t>－</t>
        </is>
      </c>
      <c r="V87" t="inlineStr">
        <is>
          <t>－</t>
        </is>
      </c>
      <c r="W87" t="n">
        <v>10</v>
      </c>
      <c r="X87" t="n">
        <v>4</v>
      </c>
      <c r="Y87" t="n">
        <v>8</v>
      </c>
      <c r="AA87">
        <f>SUM(テーブル13[[#This Row],[Reading正答数（大問1）]:[Reading正答数（大問4）]])</f>
        <v/>
      </c>
      <c r="AB87">
        <f>テーブル13[[#This Row],[リーディング正答数]]/31</f>
        <v/>
      </c>
      <c r="AC87" t="n">
        <v>14</v>
      </c>
      <c r="AD87" t="n">
        <v>14</v>
      </c>
      <c r="AF87">
        <f>SUM(テーブル13[[#This Row],[Listening正答数（大問1）]:[Listening正答数（大問3）]])</f>
        <v/>
      </c>
      <c r="AG87">
        <f>テーブル13[[#This Row],[Listening正答数]]/30</f>
        <v/>
      </c>
      <c r="AH87" t="n">
        <v>3</v>
      </c>
      <c r="AI87" t="n">
        <v>3</v>
      </c>
      <c r="AJ87" t="n">
        <v>2</v>
      </c>
      <c r="AK87" t="n">
        <v>2</v>
      </c>
      <c r="AL87" t="n">
        <v>3</v>
      </c>
      <c r="AM87" t="n">
        <v>3</v>
      </c>
      <c r="AN87" t="n">
        <v>3</v>
      </c>
      <c r="AO87" t="n">
        <v>3</v>
      </c>
      <c r="AP87">
        <f>SUM(テーブル13[[#This Row],[Writing設問1スコア（内容）]:[Writing設問2スコア（文法）]])</f>
        <v/>
      </c>
    </row>
    <row r="88">
      <c r="A88" t="n">
        <v>2025</v>
      </c>
      <c r="B88" t="inlineStr">
        <is>
          <t>第3回</t>
        </is>
      </c>
      <c r="C88" t="inlineStr">
        <is>
          <t>2級</t>
        </is>
      </c>
      <c r="D88" t="inlineStr">
        <is>
          <t>高1</t>
        </is>
      </c>
      <c r="E88" t="inlineStr">
        <is>
          <t>石川 直樹</t>
        </is>
      </c>
      <c r="F88" t="inlineStr">
        <is>
          <t>無</t>
        </is>
      </c>
      <c r="G88" t="inlineStr">
        <is>
          <t>合格</t>
        </is>
      </c>
      <c r="J88" t="inlineStr">
        <is>
          <t>G2 +1</t>
        </is>
      </c>
      <c r="K88" t="inlineStr">
        <is>
          <t>－</t>
        </is>
      </c>
      <c r="L88" t="n">
        <v>494</v>
      </c>
      <c r="M88" t="n">
        <v>559</v>
      </c>
      <c r="N88" t="n">
        <v>488</v>
      </c>
      <c r="O88" t="n">
        <v>1541</v>
      </c>
      <c r="P88" t="inlineStr">
        <is>
          <t>－</t>
        </is>
      </c>
      <c r="Q88" t="inlineStr">
        <is>
          <t>－</t>
        </is>
      </c>
      <c r="R88" t="inlineStr">
        <is>
          <t>A2</t>
        </is>
      </c>
      <c r="S88" t="inlineStr">
        <is>
          <t>B1</t>
        </is>
      </c>
      <c r="T88" t="inlineStr">
        <is>
          <t>B1</t>
        </is>
      </c>
      <c r="U88" t="inlineStr">
        <is>
          <t>－</t>
        </is>
      </c>
      <c r="V88" t="inlineStr">
        <is>
          <t>－</t>
        </is>
      </c>
      <c r="W88" t="n">
        <v>7</v>
      </c>
      <c r="X88" t="n">
        <v>4</v>
      </c>
      <c r="Y88" t="n">
        <v>4</v>
      </c>
      <c r="AA88">
        <f>SUM(テーブル13[[#This Row],[Reading正答数（大問1）]:[Reading正答数（大問4）]])</f>
        <v/>
      </c>
      <c r="AB88">
        <f>テーブル13[[#This Row],[リーディング正答数]]/31</f>
        <v/>
      </c>
      <c r="AC88" t="n">
        <v>14</v>
      </c>
      <c r="AD88" t="n">
        <v>13</v>
      </c>
      <c r="AF88">
        <f>SUM(テーブル13[[#This Row],[Listening正答数（大問1）]:[Listening正答数（大問3）]])</f>
        <v/>
      </c>
      <c r="AG88">
        <f>テーブル13[[#This Row],[Listening正答数]]/30</f>
        <v/>
      </c>
      <c r="AH88" t="n">
        <v>3</v>
      </c>
      <c r="AI88" t="n">
        <v>4</v>
      </c>
      <c r="AJ88" t="n">
        <v>2</v>
      </c>
      <c r="AK88" t="n">
        <v>2</v>
      </c>
      <c r="AL88" t="n">
        <v>3</v>
      </c>
      <c r="AM88" t="n">
        <v>3</v>
      </c>
      <c r="AN88" t="n">
        <v>2</v>
      </c>
      <c r="AO88" t="n">
        <v>2</v>
      </c>
      <c r="AP88">
        <f>SUM(テーブル13[[#This Row],[Writing設問1スコア（内容）]:[Writing設問2スコア（文法）]])</f>
        <v/>
      </c>
    </row>
    <row r="89">
      <c r="A89" t="n">
        <v>2025</v>
      </c>
      <c r="B89" t="inlineStr">
        <is>
          <t>第3回</t>
        </is>
      </c>
      <c r="C89" t="inlineStr">
        <is>
          <t>2級</t>
        </is>
      </c>
      <c r="D89" t="inlineStr">
        <is>
          <t>高2</t>
        </is>
      </c>
      <c r="E89" t="inlineStr">
        <is>
          <t>福岡 愛理</t>
        </is>
      </c>
      <c r="F89" t="inlineStr">
        <is>
          <t>無</t>
        </is>
      </c>
      <c r="G89" t="inlineStr">
        <is>
          <t>不合格</t>
        </is>
      </c>
      <c r="H89" t="inlineStr">
        <is>
          <t>－</t>
        </is>
      </c>
      <c r="J89" t="inlineStr">
        <is>
          <t>G2 -3</t>
        </is>
      </c>
      <c r="K89" t="inlineStr">
        <is>
          <t>－</t>
        </is>
      </c>
      <c r="L89" t="n">
        <v>494</v>
      </c>
      <c r="M89" t="n">
        <v>509</v>
      </c>
      <c r="N89" t="n">
        <v>464</v>
      </c>
      <c r="O89" t="n">
        <v>1467</v>
      </c>
      <c r="P89" t="inlineStr">
        <is>
          <t>－</t>
        </is>
      </c>
      <c r="Q89" t="inlineStr">
        <is>
          <t>－</t>
        </is>
      </c>
      <c r="R89" t="inlineStr">
        <is>
          <t>A2</t>
        </is>
      </c>
      <c r="S89" t="inlineStr">
        <is>
          <t>B1</t>
        </is>
      </c>
      <c r="T89" t="inlineStr">
        <is>
          <t>A2</t>
        </is>
      </c>
      <c r="U89" t="inlineStr">
        <is>
          <t>－</t>
        </is>
      </c>
      <c r="V89" t="inlineStr">
        <is>
          <t>－</t>
        </is>
      </c>
      <c r="W89" t="n">
        <v>7</v>
      </c>
      <c r="X89" t="n">
        <v>3</v>
      </c>
      <c r="Y89" t="n">
        <v>5</v>
      </c>
      <c r="AA89">
        <f>SUM(テーブル13[[#This Row],[Reading正答数（大問1）]:[Reading正答数（大問4）]])</f>
        <v/>
      </c>
      <c r="AB89">
        <f>テーブル13[[#This Row],[リーディング正答数]]/31</f>
        <v/>
      </c>
      <c r="AC89" t="n">
        <v>11</v>
      </c>
      <c r="AD89" t="n">
        <v>12</v>
      </c>
      <c r="AF89">
        <f>SUM(テーブル13[[#This Row],[Listening正答数（大問1）]:[Listening正答数（大問3）]])</f>
        <v/>
      </c>
      <c r="AG89">
        <f>テーブル13[[#This Row],[Listening正答数]]/30</f>
        <v/>
      </c>
      <c r="AH89" t="n">
        <v>3</v>
      </c>
      <c r="AI89" t="n">
        <v>3</v>
      </c>
      <c r="AJ89" t="n">
        <v>2</v>
      </c>
      <c r="AK89" t="n">
        <v>2</v>
      </c>
      <c r="AL89" t="n">
        <v>2</v>
      </c>
      <c r="AM89" t="n">
        <v>3</v>
      </c>
      <c r="AN89" t="n">
        <v>2</v>
      </c>
      <c r="AO89" t="n">
        <v>2</v>
      </c>
      <c r="AP89">
        <f>SUM(テーブル13[[#This Row],[Writing設問1スコア（内容）]:[Writing設問2スコア（文法）]])</f>
        <v/>
      </c>
    </row>
    <row r="90">
      <c r="A90" t="n">
        <v>2025</v>
      </c>
      <c r="B90" t="inlineStr">
        <is>
          <t>第3回</t>
        </is>
      </c>
      <c r="C90" t="inlineStr">
        <is>
          <t>2級</t>
        </is>
      </c>
      <c r="D90" t="inlineStr">
        <is>
          <t>高2</t>
        </is>
      </c>
      <c r="E90" t="inlineStr">
        <is>
          <t>銅突 蒼太</t>
        </is>
      </c>
      <c r="F90" t="inlineStr">
        <is>
          <t>無</t>
        </is>
      </c>
      <c r="G90" t="inlineStr">
        <is>
          <t>不合格</t>
        </is>
      </c>
      <c r="H90" t="inlineStr">
        <is>
          <t>－</t>
        </is>
      </c>
      <c r="J90" t="inlineStr">
        <is>
          <t>G2 -5</t>
        </is>
      </c>
      <c r="K90" t="inlineStr">
        <is>
          <t>－</t>
        </is>
      </c>
      <c r="L90" t="n">
        <v>488</v>
      </c>
      <c r="M90" t="n">
        <v>419</v>
      </c>
      <c r="N90" t="n">
        <v>501</v>
      </c>
      <c r="O90" t="n">
        <v>1408</v>
      </c>
      <c r="P90" t="inlineStr">
        <is>
          <t>－</t>
        </is>
      </c>
      <c r="Q90" t="inlineStr">
        <is>
          <t>－</t>
        </is>
      </c>
      <c r="R90" t="inlineStr">
        <is>
          <t>A2</t>
        </is>
      </c>
      <c r="S90" t="inlineStr">
        <is>
          <t>－</t>
        </is>
      </c>
      <c r="T90" t="inlineStr">
        <is>
          <t>B1</t>
        </is>
      </c>
      <c r="U90" t="inlineStr">
        <is>
          <t>－</t>
        </is>
      </c>
      <c r="V90" t="inlineStr">
        <is>
          <t>－</t>
        </is>
      </c>
      <c r="W90" t="n">
        <v>8</v>
      </c>
      <c r="X90" t="n">
        <v>2</v>
      </c>
      <c r="Y90" t="n">
        <v>4</v>
      </c>
      <c r="AA90">
        <f>SUM(テーブル13[[#This Row],[Reading正答数（大問1）]:[Reading正答数（大問4）]])</f>
        <v/>
      </c>
      <c r="AB90">
        <f>テーブル13[[#This Row],[リーディング正答数]]/31</f>
        <v/>
      </c>
      <c r="AC90" t="n">
        <v>3</v>
      </c>
      <c r="AD90" t="n">
        <v>8</v>
      </c>
      <c r="AF90">
        <f>SUM(テーブル13[[#This Row],[Listening正答数（大問1）]:[Listening正答数（大問3）]])</f>
        <v/>
      </c>
      <c r="AG90">
        <f>テーブル13[[#This Row],[Listening正答数]]/30</f>
        <v/>
      </c>
      <c r="AH90" t="n">
        <v>2</v>
      </c>
      <c r="AI90" t="n">
        <v>3</v>
      </c>
      <c r="AJ90" t="n">
        <v>2</v>
      </c>
      <c r="AK90" t="n">
        <v>2</v>
      </c>
      <c r="AL90" t="n">
        <v>4</v>
      </c>
      <c r="AM90" t="n">
        <v>3</v>
      </c>
      <c r="AN90" t="n">
        <v>3</v>
      </c>
      <c r="AO90" t="n">
        <v>3</v>
      </c>
      <c r="AP90">
        <f>SUM(テーブル13[[#This Row],[Writing設問1スコア（内容）]:[Writing設問2スコア（文法）]])</f>
        <v/>
      </c>
    </row>
    <row r="91">
      <c r="A91" t="n">
        <v>2025</v>
      </c>
      <c r="B91" t="inlineStr">
        <is>
          <t>第3回</t>
        </is>
      </c>
      <c r="C91" t="inlineStr">
        <is>
          <t>準2級</t>
        </is>
      </c>
      <c r="D91" t="inlineStr">
        <is>
          <t>高2</t>
        </is>
      </c>
      <c r="E91" t="inlineStr">
        <is>
          <t>明学 凌平</t>
        </is>
      </c>
      <c r="F91" t="inlineStr">
        <is>
          <t>無</t>
        </is>
      </c>
      <c r="G91" t="inlineStr">
        <is>
          <t>合格</t>
        </is>
      </c>
      <c r="J91" t="inlineStr">
        <is>
          <t>GP2 +3</t>
        </is>
      </c>
      <c r="K91" t="inlineStr">
        <is>
          <t>－</t>
        </is>
      </c>
      <c r="L91" t="n">
        <v>475</v>
      </c>
      <c r="M91" t="n">
        <v>417</v>
      </c>
      <c r="N91" t="n">
        <v>484</v>
      </c>
      <c r="O91" t="n">
        <v>1376</v>
      </c>
      <c r="P91" t="inlineStr">
        <is>
          <t>－</t>
        </is>
      </c>
      <c r="Q91" t="inlineStr">
        <is>
          <t>－</t>
        </is>
      </c>
      <c r="R91" t="inlineStr">
        <is>
          <t>A2</t>
        </is>
      </c>
      <c r="S91" t="inlineStr">
        <is>
          <t>A1</t>
        </is>
      </c>
      <c r="T91" t="inlineStr">
        <is>
          <t>A2</t>
        </is>
      </c>
      <c r="U91" t="inlineStr">
        <is>
          <t>－</t>
        </is>
      </c>
      <c r="V91" t="inlineStr">
        <is>
          <t>－</t>
        </is>
      </c>
      <c r="W91" t="n">
        <v>11</v>
      </c>
      <c r="X91" t="n">
        <v>4</v>
      </c>
      <c r="Y91" t="n">
        <v>1</v>
      </c>
      <c r="Z91" t="n">
        <v>4</v>
      </c>
      <c r="AA91">
        <f>SUM(テーブル13[[#This Row],[Reading正答数（大問1）]:[Reading正答数（大問4）]])</f>
        <v/>
      </c>
      <c r="AB91">
        <f>テーブル13[[#This Row],[リーディング正答数]]/29</f>
        <v/>
      </c>
      <c r="AC91" t="n">
        <v>6</v>
      </c>
      <c r="AD91" t="n">
        <v>3</v>
      </c>
      <c r="AE91" t="n">
        <v>6</v>
      </c>
      <c r="AF91">
        <f>SUM(テーブル13[[#This Row],[Listening正答数（大問1）]:[Listening正答数（大問3）]])</f>
        <v/>
      </c>
      <c r="AG91">
        <f>テーブル13[[#This Row],[Listening正答数]]/30</f>
        <v/>
      </c>
      <c r="AH91" t="n">
        <v>4</v>
      </c>
      <c r="AJ91" t="n">
        <v>4</v>
      </c>
      <c r="AK91" t="n">
        <v>3</v>
      </c>
      <c r="AL91" t="n">
        <v>2</v>
      </c>
      <c r="AM91" t="n">
        <v>3</v>
      </c>
      <c r="AN91" t="n">
        <v>3</v>
      </c>
      <c r="AO91" t="n">
        <v>3</v>
      </c>
      <c r="AP91">
        <f>SUM(テーブル13[[#This Row],[Writing設問1スコア（内容）]:[Writing設問2スコア（文法）]])</f>
        <v/>
      </c>
    </row>
    <row r="92">
      <c r="A92" t="n">
        <v>2025</v>
      </c>
      <c r="B92" t="inlineStr">
        <is>
          <t>第3回</t>
        </is>
      </c>
      <c r="C92" t="inlineStr">
        <is>
          <t>準2級</t>
        </is>
      </c>
      <c r="D92" t="inlineStr">
        <is>
          <t>高2</t>
        </is>
      </c>
      <c r="E92" t="inlineStr">
        <is>
          <t>若月 周</t>
        </is>
      </c>
      <c r="F92" t="inlineStr">
        <is>
          <t>無</t>
        </is>
      </c>
      <c r="G92" t="inlineStr">
        <is>
          <t>合格</t>
        </is>
      </c>
      <c r="J92" t="inlineStr">
        <is>
          <t>GP2 +2</t>
        </is>
      </c>
      <c r="K92" t="inlineStr">
        <is>
          <t>－</t>
        </is>
      </c>
      <c r="L92" t="n">
        <v>468</v>
      </c>
      <c r="M92" t="n">
        <v>404</v>
      </c>
      <c r="N92" t="n">
        <v>484</v>
      </c>
      <c r="O92" t="n">
        <v>1356</v>
      </c>
      <c r="P92" t="inlineStr">
        <is>
          <t>－</t>
        </is>
      </c>
      <c r="Q92" t="inlineStr">
        <is>
          <t>－</t>
        </is>
      </c>
      <c r="R92" t="inlineStr">
        <is>
          <t>A2</t>
        </is>
      </c>
      <c r="S92" t="inlineStr">
        <is>
          <t>A1</t>
        </is>
      </c>
      <c r="T92" t="inlineStr">
        <is>
          <t>A2</t>
        </is>
      </c>
      <c r="U92" t="inlineStr">
        <is>
          <t>－</t>
        </is>
      </c>
      <c r="V92" t="inlineStr">
        <is>
          <t>－</t>
        </is>
      </c>
      <c r="W92" t="n">
        <v>11</v>
      </c>
      <c r="X92" t="n">
        <v>5</v>
      </c>
      <c r="Y92" t="n">
        <v>0</v>
      </c>
      <c r="Z92" t="n">
        <v>3</v>
      </c>
      <c r="AA92">
        <f>SUM(テーブル13[[#This Row],[Reading正答数（大問1）]:[Reading正答数（大問4）]])</f>
        <v/>
      </c>
      <c r="AB92">
        <f>テーブル13[[#This Row],[リーディング正答数]]/29</f>
        <v/>
      </c>
      <c r="AC92" t="n">
        <v>5</v>
      </c>
      <c r="AD92" t="n">
        <v>4</v>
      </c>
      <c r="AE92" t="n">
        <v>4</v>
      </c>
      <c r="AF92">
        <f>SUM(テーブル13[[#This Row],[Listening正答数（大問1）]:[Listening正答数（大問3）]])</f>
        <v/>
      </c>
      <c r="AG92">
        <f>テーブル13[[#This Row],[Listening正答数]]/30</f>
        <v/>
      </c>
      <c r="AH92" t="n">
        <v>4</v>
      </c>
      <c r="AJ92" t="n">
        <v>3</v>
      </c>
      <c r="AK92" t="n">
        <v>3</v>
      </c>
      <c r="AL92" t="n">
        <v>3</v>
      </c>
      <c r="AM92" t="n">
        <v>3</v>
      </c>
      <c r="AN92" t="n">
        <v>3</v>
      </c>
      <c r="AO92" t="n">
        <v>3</v>
      </c>
      <c r="AP92">
        <f>SUM(テーブル13[[#This Row],[Writing設問1スコア（内容）]:[Writing設問2スコア（文法）]])</f>
        <v/>
      </c>
    </row>
    <row r="93">
      <c r="A93" t="n">
        <v>2025</v>
      </c>
      <c r="B93" t="inlineStr">
        <is>
          <t>第3回</t>
        </is>
      </c>
      <c r="C93" t="inlineStr">
        <is>
          <t>2級</t>
        </is>
      </c>
      <c r="D93" t="inlineStr">
        <is>
          <t>高2</t>
        </is>
      </c>
      <c r="E93" t="inlineStr">
        <is>
          <t>仁木 咲良</t>
        </is>
      </c>
      <c r="F93" t="inlineStr">
        <is>
          <t>無</t>
        </is>
      </c>
      <c r="G93" t="inlineStr">
        <is>
          <t>不合格</t>
        </is>
      </c>
      <c r="H93" t="inlineStr">
        <is>
          <t>－</t>
        </is>
      </c>
      <c r="J93" t="inlineStr">
        <is>
          <t>G2 -8</t>
        </is>
      </c>
      <c r="K93" t="inlineStr">
        <is>
          <t>－</t>
        </is>
      </c>
      <c r="L93" t="n">
        <v>434</v>
      </c>
      <c r="M93" t="n">
        <v>412</v>
      </c>
      <c r="N93" t="n">
        <v>476</v>
      </c>
      <c r="O93" t="n">
        <v>1322</v>
      </c>
      <c r="P93" t="inlineStr">
        <is>
          <t>－</t>
        </is>
      </c>
      <c r="Q93" t="inlineStr">
        <is>
          <t>－</t>
        </is>
      </c>
      <c r="R93" t="inlineStr">
        <is>
          <t>－</t>
        </is>
      </c>
      <c r="S93" t="inlineStr">
        <is>
          <t>－</t>
        </is>
      </c>
      <c r="T93" t="inlineStr">
        <is>
          <t>B1</t>
        </is>
      </c>
      <c r="U93" t="inlineStr">
        <is>
          <t>－</t>
        </is>
      </c>
      <c r="V93" t="inlineStr">
        <is>
          <t>－</t>
        </is>
      </c>
      <c r="W93" t="n">
        <v>3</v>
      </c>
      <c r="X93" t="n">
        <v>1</v>
      </c>
      <c r="Y93" t="n">
        <v>2</v>
      </c>
      <c r="AA93">
        <f>SUM(テーブル13[[#This Row],[Reading正答数（大問1）]:[Reading正答数（大問4）]])</f>
        <v/>
      </c>
      <c r="AB93">
        <f>テーブル13[[#This Row],[リーディング正答数]]/31</f>
        <v/>
      </c>
      <c r="AC93" t="n">
        <v>4</v>
      </c>
      <c r="AD93" t="n">
        <v>6</v>
      </c>
      <c r="AF93">
        <f>SUM(テーブル13[[#This Row],[Listening正答数（大問1）]:[Listening正答数（大問3）]])</f>
        <v/>
      </c>
      <c r="AG93">
        <f>テーブル13[[#This Row],[Listening正答数]]/30</f>
        <v/>
      </c>
      <c r="AH93" t="n">
        <v>3</v>
      </c>
      <c r="AI93" t="n">
        <v>3</v>
      </c>
      <c r="AJ93" t="n">
        <v>2</v>
      </c>
      <c r="AK93" t="n">
        <v>2</v>
      </c>
      <c r="AL93" t="n">
        <v>2</v>
      </c>
      <c r="AM93" t="n">
        <v>3</v>
      </c>
      <c r="AN93" t="n">
        <v>3</v>
      </c>
      <c r="AO93" t="n">
        <v>2</v>
      </c>
      <c r="AP93">
        <f>SUM(テーブル13[[#This Row],[Writing設問1スコア（内容）]:[Writing設問2スコア（文法）]])</f>
        <v/>
      </c>
    </row>
    <row r="94">
      <c r="A94" t="n">
        <v>2025</v>
      </c>
      <c r="B94" t="inlineStr">
        <is>
          <t>第3回</t>
        </is>
      </c>
      <c r="C94" t="inlineStr">
        <is>
          <t>準2級</t>
        </is>
      </c>
      <c r="D94" t="inlineStr">
        <is>
          <t>高2</t>
        </is>
      </c>
      <c r="E94" t="inlineStr">
        <is>
          <t>秋山 蒼太郎</t>
        </is>
      </c>
      <c r="F94" t="inlineStr">
        <is>
          <t>無</t>
        </is>
      </c>
      <c r="G94" t="inlineStr">
        <is>
          <t>不合格</t>
        </is>
      </c>
      <c r="H94" t="inlineStr">
        <is>
          <t>－</t>
        </is>
      </c>
      <c r="J94" t="inlineStr">
        <is>
          <t>GP2 -3</t>
        </is>
      </c>
      <c r="K94" t="inlineStr">
        <is>
          <t>－</t>
        </is>
      </c>
      <c r="L94" t="n">
        <v>453</v>
      </c>
      <c r="M94" t="n">
        <v>374</v>
      </c>
      <c r="N94" t="n">
        <v>419</v>
      </c>
      <c r="O94" t="n">
        <v>1246</v>
      </c>
      <c r="P94" t="inlineStr">
        <is>
          <t>－</t>
        </is>
      </c>
      <c r="Q94" t="inlineStr">
        <is>
          <t>－</t>
        </is>
      </c>
      <c r="R94" t="inlineStr">
        <is>
          <t>A2</t>
        </is>
      </c>
      <c r="S94" t="inlineStr">
        <is>
          <t>A1</t>
        </is>
      </c>
      <c r="T94" t="inlineStr">
        <is>
          <t>A2</t>
        </is>
      </c>
      <c r="U94" t="inlineStr">
        <is>
          <t>－</t>
        </is>
      </c>
      <c r="V94" t="inlineStr">
        <is>
          <t>－</t>
        </is>
      </c>
      <c r="W94" t="n">
        <v>10</v>
      </c>
      <c r="X94" t="n">
        <v>4</v>
      </c>
      <c r="Y94" t="n">
        <v>1</v>
      </c>
      <c r="Z94" t="n">
        <v>2</v>
      </c>
      <c r="AA94">
        <f>SUM(テーブル13[[#This Row],[Reading正答数（大問1）]:[Reading正答数（大問4）]])</f>
        <v/>
      </c>
      <c r="AB94">
        <f>テーブル13[[#This Row],[リーディング正答数]]/29</f>
        <v/>
      </c>
      <c r="AC94" t="n">
        <v>5</v>
      </c>
      <c r="AD94" t="n">
        <v>3</v>
      </c>
      <c r="AE94" t="n">
        <v>1</v>
      </c>
      <c r="AF94">
        <f>SUM(テーブル13[[#This Row],[Listening正答数（大問1）]:[Listening正答数（大問3）]])</f>
        <v/>
      </c>
      <c r="AG94">
        <f>テーブル13[[#This Row],[Listening正答数]]/30</f>
        <v/>
      </c>
      <c r="AH94" t="n">
        <v>3</v>
      </c>
      <c r="AJ94" t="n">
        <v>3</v>
      </c>
      <c r="AK94" t="n">
        <v>3</v>
      </c>
      <c r="AL94" t="n">
        <v>2</v>
      </c>
      <c r="AM94" t="n">
        <v>2</v>
      </c>
      <c r="AN94" t="n">
        <v>2</v>
      </c>
      <c r="AO94" t="n">
        <v>2</v>
      </c>
      <c r="AP94">
        <f>SUM(テーブル13[[#This Row],[Writing設問1スコア（内容）]:[Writing設問2スコア（文法）]])</f>
        <v/>
      </c>
    </row>
    <row r="95">
      <c r="A95" t="n">
        <v>2025</v>
      </c>
      <c r="B95" t="inlineStr">
        <is>
          <t>第3回</t>
        </is>
      </c>
      <c r="C95" t="inlineStr">
        <is>
          <t>準2級</t>
        </is>
      </c>
      <c r="D95" t="inlineStr">
        <is>
          <t>中1</t>
        </is>
      </c>
      <c r="E95" t="inlineStr">
        <is>
          <t>櫻井 莉子</t>
        </is>
      </c>
      <c r="F95" t="inlineStr">
        <is>
          <t>無</t>
        </is>
      </c>
      <c r="G95" t="inlineStr">
        <is>
          <t>不合格</t>
        </is>
      </c>
      <c r="H95" t="inlineStr">
        <is>
          <t>－</t>
        </is>
      </c>
      <c r="J95" t="inlineStr">
        <is>
          <t>GP2 -1</t>
        </is>
      </c>
      <c r="K95" t="inlineStr">
        <is>
          <t>－</t>
        </is>
      </c>
      <c r="L95" t="n">
        <v>432</v>
      </c>
      <c r="M95" t="n">
        <v>445</v>
      </c>
      <c r="N95" t="n">
        <v>431</v>
      </c>
      <c r="O95" t="n">
        <v>1308</v>
      </c>
      <c r="P95" t="inlineStr">
        <is>
          <t>－</t>
        </is>
      </c>
      <c r="Q95" t="inlineStr">
        <is>
          <t>－</t>
        </is>
      </c>
      <c r="R95" t="inlineStr">
        <is>
          <t>A1</t>
        </is>
      </c>
      <c r="S95" t="inlineStr">
        <is>
          <t>A2</t>
        </is>
      </c>
      <c r="T95" t="inlineStr">
        <is>
          <t>A2</t>
        </is>
      </c>
      <c r="U95" t="inlineStr">
        <is>
          <t>－</t>
        </is>
      </c>
      <c r="V95" t="inlineStr">
        <is>
          <t>－</t>
        </is>
      </c>
      <c r="W95" t="n">
        <v>7</v>
      </c>
      <c r="X95" t="n">
        <v>4</v>
      </c>
      <c r="Y95" t="n">
        <v>1</v>
      </c>
      <c r="Z95" t="n">
        <v>2</v>
      </c>
      <c r="AA95">
        <f>SUM(テーブル13[[#This Row],[Reading正答数（大問1）]:[Reading正答数（大問4）]])</f>
        <v/>
      </c>
      <c r="AB95">
        <f>テーブル13[[#This Row],[リーディング正答数]]/29</f>
        <v/>
      </c>
      <c r="AC95" t="n">
        <v>8</v>
      </c>
      <c r="AD95" t="n">
        <v>7</v>
      </c>
      <c r="AE95" t="n">
        <v>4</v>
      </c>
      <c r="AF95">
        <f>SUM(テーブル13[[#This Row],[Listening正答数（大問1）]:[Listening正答数（大問3）]])</f>
        <v/>
      </c>
      <c r="AG95">
        <f>テーブル13[[#This Row],[Listening正答数]]/30</f>
        <v/>
      </c>
      <c r="AH95" t="n">
        <v>3</v>
      </c>
      <c r="AJ95" t="n">
        <v>4</v>
      </c>
      <c r="AK95" t="n">
        <v>3</v>
      </c>
      <c r="AL95" t="n">
        <v>3</v>
      </c>
      <c r="AM95" t="n">
        <v>2</v>
      </c>
      <c r="AN95" t="n">
        <v>2</v>
      </c>
      <c r="AO95" t="n">
        <v>1</v>
      </c>
      <c r="AP95">
        <f>SUM(テーブル13[[#This Row],[Writing設問1スコア（内容）]:[Writing設問2スコア（文法）]])</f>
        <v/>
      </c>
    </row>
    <row r="96">
      <c r="A96" t="n">
        <v>2025</v>
      </c>
      <c r="B96" t="inlineStr">
        <is>
          <t>第3回</t>
        </is>
      </c>
      <c r="C96" t="inlineStr">
        <is>
          <t>3級</t>
        </is>
      </c>
      <c r="D96" t="inlineStr">
        <is>
          <t>中1</t>
        </is>
      </c>
      <c r="E96" t="inlineStr">
        <is>
          <t>山村 郁仁</t>
        </is>
      </c>
      <c r="F96" t="inlineStr">
        <is>
          <t>無</t>
        </is>
      </c>
      <c r="G96" t="inlineStr">
        <is>
          <t>合格</t>
        </is>
      </c>
      <c r="J96" t="inlineStr">
        <is>
          <t>G3 +10</t>
        </is>
      </c>
      <c r="K96" t="inlineStr">
        <is>
          <t>－</t>
        </is>
      </c>
      <c r="L96" t="n">
        <v>440</v>
      </c>
      <c r="M96" t="n">
        <v>455</v>
      </c>
      <c r="N96" t="n">
        <v>456</v>
      </c>
      <c r="O96" t="n">
        <v>1351</v>
      </c>
      <c r="P96" t="inlineStr">
        <is>
          <t>－</t>
        </is>
      </c>
      <c r="Q96" t="inlineStr">
        <is>
          <t>－</t>
        </is>
      </c>
      <c r="R96" t="inlineStr">
        <is>
          <t>A1</t>
        </is>
      </c>
      <c r="S96" t="inlineStr">
        <is>
          <t>A1</t>
        </is>
      </c>
      <c r="T96" t="inlineStr">
        <is>
          <t>A1</t>
        </is>
      </c>
      <c r="U96" t="inlineStr">
        <is>
          <t>－</t>
        </is>
      </c>
      <c r="V96" t="inlineStr">
        <is>
          <t>－</t>
        </is>
      </c>
      <c r="W96" t="n">
        <v>13</v>
      </c>
      <c r="X96" t="n">
        <v>3</v>
      </c>
      <c r="Y96" t="n">
        <v>9</v>
      </c>
      <c r="AA96">
        <f>SUM(テーブル13[[#This Row],[Reading正答数（大問1）]:[Reading正答数（大問4）]])</f>
        <v/>
      </c>
      <c r="AB96">
        <f>テーブル13[[#This Row],[リーディング正答数]]/30</f>
        <v/>
      </c>
      <c r="AC96" t="n">
        <v>9</v>
      </c>
      <c r="AD96" t="n">
        <v>9</v>
      </c>
      <c r="AE96" t="n">
        <v>10</v>
      </c>
      <c r="AF96">
        <f>SUM(テーブル13[[#This Row],[Listening正答数（大問1）]:[Listening正答数（大問3）]])</f>
        <v/>
      </c>
      <c r="AG96">
        <f>テーブル13[[#This Row],[Listening正答数]]/30</f>
        <v/>
      </c>
      <c r="AH96" t="n">
        <v>3</v>
      </c>
      <c r="AJ96" t="n">
        <v>3</v>
      </c>
      <c r="AK96" t="n">
        <v>3</v>
      </c>
      <c r="AL96" t="n">
        <v>3</v>
      </c>
      <c r="AM96" t="n">
        <v>4</v>
      </c>
      <c r="AN96" t="n">
        <v>3</v>
      </c>
      <c r="AO96" t="n">
        <v>3</v>
      </c>
      <c r="AP96">
        <f>SUM(テーブル13[[#This Row],[Writing設問1スコア（内容）]:[Writing設問2スコア（文法）]])</f>
        <v/>
      </c>
    </row>
    <row r="97">
      <c r="A97" t="n">
        <v>2025</v>
      </c>
      <c r="B97" t="inlineStr">
        <is>
          <t>第3回</t>
        </is>
      </c>
      <c r="C97" t="inlineStr">
        <is>
          <t>3級</t>
        </is>
      </c>
      <c r="D97" t="inlineStr">
        <is>
          <t>中1</t>
        </is>
      </c>
      <c r="E97" t="inlineStr">
        <is>
          <t>石澤 憲人</t>
        </is>
      </c>
      <c r="F97" t="inlineStr">
        <is>
          <t>無</t>
        </is>
      </c>
      <c r="G97" t="inlineStr">
        <is>
          <t>合格</t>
        </is>
      </c>
      <c r="J97" t="inlineStr">
        <is>
          <t>G3 +2</t>
        </is>
      </c>
      <c r="K97" t="inlineStr">
        <is>
          <t>－</t>
        </is>
      </c>
      <c r="L97" t="n">
        <v>368</v>
      </c>
      <c r="M97" t="n">
        <v>383</v>
      </c>
      <c r="N97" t="n">
        <v>383</v>
      </c>
      <c r="O97" t="n">
        <v>1134</v>
      </c>
      <c r="P97" t="inlineStr">
        <is>
          <t>－</t>
        </is>
      </c>
      <c r="Q97" t="inlineStr">
        <is>
          <t>－</t>
        </is>
      </c>
      <c r="R97" t="inlineStr">
        <is>
          <t>－</t>
        </is>
      </c>
      <c r="S97" t="inlineStr">
        <is>
          <t>A1</t>
        </is>
      </c>
      <c r="T97" t="inlineStr">
        <is>
          <t>A1</t>
        </is>
      </c>
      <c r="U97" t="inlineStr">
        <is>
          <t>－</t>
        </is>
      </c>
      <c r="V97" t="inlineStr">
        <is>
          <t>－</t>
        </is>
      </c>
      <c r="W97" t="n">
        <v>8</v>
      </c>
      <c r="X97" t="n">
        <v>1</v>
      </c>
      <c r="Y97" t="n">
        <v>6</v>
      </c>
      <c r="AA97">
        <f>SUM(テーブル13[[#This Row],[Reading正答数（大問1）]:[Reading正答数（大問4）]])</f>
        <v/>
      </c>
      <c r="AB97">
        <f>テーブル13[[#This Row],[リーディング正答数]]/30</f>
        <v/>
      </c>
      <c r="AC97" t="n">
        <v>7</v>
      </c>
      <c r="AD97" t="n">
        <v>8</v>
      </c>
      <c r="AE97" t="n">
        <v>8</v>
      </c>
      <c r="AF97">
        <f>SUM(テーブル13[[#This Row],[Listening正答数（大問1）]:[Listening正答数（大問3）]])</f>
        <v/>
      </c>
      <c r="AG97">
        <f>テーブル13[[#This Row],[Listening正答数]]/30</f>
        <v/>
      </c>
      <c r="AH97" t="n">
        <v>3</v>
      </c>
      <c r="AJ97" t="n">
        <v>3</v>
      </c>
      <c r="AK97" t="n">
        <v>2</v>
      </c>
      <c r="AL97" t="n">
        <v>2</v>
      </c>
      <c r="AM97" t="n">
        <v>3</v>
      </c>
      <c r="AN97" t="n">
        <v>3</v>
      </c>
      <c r="AO97" t="n">
        <v>2</v>
      </c>
      <c r="AP97">
        <f>SUM(テーブル13[[#This Row],[Writing設問1スコア（内容）]:[Writing設問2スコア（文法）]])</f>
        <v/>
      </c>
    </row>
    <row r="98">
      <c r="A98" t="n">
        <v>2025</v>
      </c>
      <c r="B98" t="inlineStr">
        <is>
          <t>第3回</t>
        </is>
      </c>
      <c r="C98" t="inlineStr">
        <is>
          <t>準2級</t>
        </is>
      </c>
      <c r="D98" t="inlineStr">
        <is>
          <t>中1</t>
        </is>
      </c>
      <c r="E98" t="inlineStr">
        <is>
          <t>中川 瑞貴</t>
        </is>
      </c>
      <c r="F98" t="inlineStr">
        <is>
          <t>無</t>
        </is>
      </c>
      <c r="G98" t="inlineStr">
        <is>
          <t>合格</t>
        </is>
      </c>
      <c r="J98" t="inlineStr">
        <is>
          <t>GP2 +5</t>
        </is>
      </c>
      <c r="K98" t="inlineStr">
        <is>
          <t>－</t>
        </is>
      </c>
      <c r="L98" t="n">
        <v>446</v>
      </c>
      <c r="M98" t="n">
        <v>488</v>
      </c>
      <c r="N98" t="n">
        <v>515</v>
      </c>
      <c r="O98" t="n">
        <v>1449</v>
      </c>
      <c r="P98" t="inlineStr">
        <is>
          <t>－</t>
        </is>
      </c>
      <c r="Q98" t="inlineStr">
        <is>
          <t>－</t>
        </is>
      </c>
      <c r="R98" t="inlineStr">
        <is>
          <t>A2</t>
        </is>
      </c>
      <c r="S98" t="inlineStr">
        <is>
          <t>A2</t>
        </is>
      </c>
      <c r="T98" t="inlineStr">
        <is>
          <t>A2</t>
        </is>
      </c>
      <c r="U98" t="inlineStr">
        <is>
          <t>－</t>
        </is>
      </c>
      <c r="V98" t="inlineStr">
        <is>
          <t>－</t>
        </is>
      </c>
      <c r="W98" t="n">
        <v>10</v>
      </c>
      <c r="X98" t="n">
        <v>3</v>
      </c>
      <c r="Y98" t="n">
        <v>1</v>
      </c>
      <c r="Z98" t="n">
        <v>2</v>
      </c>
      <c r="AA98">
        <f>SUM(テーブル13[[#This Row],[Reading正答数（大問1）]:[Reading正答数（大問4）]])</f>
        <v/>
      </c>
      <c r="AB98">
        <f>テーブル13[[#This Row],[リーディング正答数]]/29</f>
        <v/>
      </c>
      <c r="AC98" t="n">
        <v>8</v>
      </c>
      <c r="AD98" t="n">
        <v>7</v>
      </c>
      <c r="AE98" t="n">
        <v>9</v>
      </c>
      <c r="AF98">
        <f>SUM(テーブル13[[#This Row],[Listening正答数（大問1）]:[Listening正答数（大問3）]])</f>
        <v/>
      </c>
      <c r="AG98">
        <f>テーブル13[[#This Row],[Listening正答数]]/30</f>
        <v/>
      </c>
      <c r="AH98" t="n">
        <v>3</v>
      </c>
      <c r="AJ98" t="n">
        <v>4</v>
      </c>
      <c r="AK98" t="n">
        <v>4</v>
      </c>
      <c r="AL98" t="n">
        <v>4</v>
      </c>
      <c r="AM98" t="n">
        <v>3</v>
      </c>
      <c r="AN98" t="n">
        <v>3</v>
      </c>
      <c r="AO98" t="n">
        <v>3</v>
      </c>
      <c r="AP98">
        <f>SUM(テーブル13[[#This Row],[Writing設問1スコア（内容）]:[Writing設問2スコア（文法）]])</f>
        <v/>
      </c>
    </row>
    <row r="99">
      <c r="A99" t="n">
        <v>2025</v>
      </c>
      <c r="B99" t="inlineStr">
        <is>
          <t>第3回</t>
        </is>
      </c>
      <c r="C99" t="inlineStr">
        <is>
          <t>準2級</t>
        </is>
      </c>
      <c r="D99" t="inlineStr">
        <is>
          <t>中2</t>
        </is>
      </c>
      <c r="E99" t="inlineStr">
        <is>
          <t>舛谷 颯太</t>
        </is>
      </c>
      <c r="F99" t="inlineStr">
        <is>
          <t>無</t>
        </is>
      </c>
      <c r="G99" t="inlineStr">
        <is>
          <t>合格</t>
        </is>
      </c>
      <c r="J99" t="inlineStr">
        <is>
          <t>GP2 +3</t>
        </is>
      </c>
      <c r="K99" t="inlineStr">
        <is>
          <t>－</t>
        </is>
      </c>
      <c r="L99" t="n">
        <v>468</v>
      </c>
      <c r="M99" t="n">
        <v>488</v>
      </c>
      <c r="N99" t="n">
        <v>419</v>
      </c>
      <c r="O99" t="n">
        <v>1375</v>
      </c>
      <c r="P99" t="inlineStr">
        <is>
          <t>－</t>
        </is>
      </c>
      <c r="Q99" t="inlineStr">
        <is>
          <t>－</t>
        </is>
      </c>
      <c r="R99" t="inlineStr">
        <is>
          <t>A2</t>
        </is>
      </c>
      <c r="S99" t="inlineStr">
        <is>
          <t>A2</t>
        </is>
      </c>
      <c r="T99" t="inlineStr">
        <is>
          <t>A2</t>
        </is>
      </c>
      <c r="U99" t="inlineStr">
        <is>
          <t>－</t>
        </is>
      </c>
      <c r="V99" t="inlineStr">
        <is>
          <t>－</t>
        </is>
      </c>
      <c r="W99" t="n">
        <v>11</v>
      </c>
      <c r="X99" t="n">
        <v>4</v>
      </c>
      <c r="Y99" t="n">
        <v>2</v>
      </c>
      <c r="Z99" t="n">
        <v>2</v>
      </c>
      <c r="AA99">
        <f>SUM(テーブル13[[#This Row],[Reading正答数（大問1）]:[Reading正答数（大問4）]])</f>
        <v/>
      </c>
      <c r="AB99">
        <f>テーブル13[[#This Row],[リーディング正答数]]/29</f>
        <v/>
      </c>
      <c r="AC99" t="n">
        <v>10</v>
      </c>
      <c r="AD99" t="n">
        <v>8</v>
      </c>
      <c r="AE99" t="n">
        <v>6</v>
      </c>
      <c r="AF99">
        <f>SUM(テーブル13[[#This Row],[Listening正答数（大問1）]:[Listening正答数（大問3）]])</f>
        <v/>
      </c>
      <c r="AG99">
        <f>テーブル13[[#This Row],[Listening正答数]]/30</f>
        <v/>
      </c>
      <c r="AH99" t="n">
        <v>2</v>
      </c>
      <c r="AJ99" t="n">
        <v>2</v>
      </c>
      <c r="AK99" t="n">
        <v>2</v>
      </c>
      <c r="AL99" t="n">
        <v>3</v>
      </c>
      <c r="AM99" t="n">
        <v>3</v>
      </c>
      <c r="AN99" t="n">
        <v>3</v>
      </c>
      <c r="AO99" t="n">
        <v>2</v>
      </c>
      <c r="AP99">
        <f>SUM(テーブル13[[#This Row],[Writing設問1スコア（内容）]:[Writing設問2スコア（文法）]])</f>
        <v/>
      </c>
    </row>
    <row r="100">
      <c r="A100" t="n">
        <v>2025</v>
      </c>
      <c r="B100" t="inlineStr">
        <is>
          <t>第3回</t>
        </is>
      </c>
      <c r="C100" t="inlineStr">
        <is>
          <t>3級</t>
        </is>
      </c>
      <c r="D100" t="inlineStr">
        <is>
          <t>中2</t>
        </is>
      </c>
      <c r="E100" t="inlineStr">
        <is>
          <t>田中 優奈</t>
        </is>
      </c>
      <c r="F100" t="inlineStr">
        <is>
          <t>無</t>
        </is>
      </c>
      <c r="G100" t="inlineStr">
        <is>
          <t>不合格</t>
        </is>
      </c>
      <c r="H100" t="inlineStr">
        <is>
          <t>－</t>
        </is>
      </c>
      <c r="J100" t="inlineStr">
        <is>
          <t>G3 -1</t>
        </is>
      </c>
      <c r="K100" t="inlineStr">
        <is>
          <t>－</t>
        </is>
      </c>
      <c r="L100" t="n">
        <v>393</v>
      </c>
      <c r="M100" t="n">
        <v>325</v>
      </c>
      <c r="N100" t="n">
        <v>368</v>
      </c>
      <c r="O100" t="n">
        <v>1086</v>
      </c>
      <c r="P100" t="inlineStr">
        <is>
          <t>－</t>
        </is>
      </c>
      <c r="Q100" t="inlineStr">
        <is>
          <t>－</t>
        </is>
      </c>
      <c r="R100" t="inlineStr">
        <is>
          <t>A1</t>
        </is>
      </c>
      <c r="S100" t="inlineStr">
        <is>
          <t>－</t>
        </is>
      </c>
      <c r="T100" t="inlineStr">
        <is>
          <t>A1</t>
        </is>
      </c>
      <c r="U100" t="inlineStr">
        <is>
          <t>－</t>
        </is>
      </c>
      <c r="V100" t="inlineStr">
        <is>
          <t>－</t>
        </is>
      </c>
      <c r="W100" t="n">
        <v>11</v>
      </c>
      <c r="X100" t="n">
        <v>2</v>
      </c>
      <c r="Y100" t="n">
        <v>6</v>
      </c>
      <c r="AA100">
        <f>SUM(テーブル13[[#This Row],[Reading正答数（大問1）]:[Reading正答数（大問4）]])</f>
        <v/>
      </c>
      <c r="AB100">
        <f>テーブル13[[#This Row],[リーディング正答数]]/30</f>
        <v/>
      </c>
      <c r="AC100" t="n">
        <v>3</v>
      </c>
      <c r="AD100" t="n">
        <v>6</v>
      </c>
      <c r="AE100" t="n">
        <v>7</v>
      </c>
      <c r="AF100">
        <f>SUM(テーブル13[[#This Row],[Listening正答数（大問1）]:[Listening正答数（大問3）]])</f>
        <v/>
      </c>
      <c r="AG100">
        <f>テーブル13[[#This Row],[Listening正答数]]/30</f>
        <v/>
      </c>
      <c r="AH100" t="n">
        <v>3</v>
      </c>
      <c r="AJ100" t="n">
        <v>3</v>
      </c>
      <c r="AK100" t="n">
        <v>2</v>
      </c>
      <c r="AL100" t="n">
        <v>2</v>
      </c>
      <c r="AM100" t="n">
        <v>3</v>
      </c>
      <c r="AN100" t="n">
        <v>2</v>
      </c>
      <c r="AO100" t="n">
        <v>2</v>
      </c>
      <c r="AP100">
        <f>SUM(テーブル13[[#This Row],[Writing設問1スコア（内容）]:[Writing設問2スコア（文法）]])</f>
        <v/>
      </c>
    </row>
    <row r="101">
      <c r="A101" t="n">
        <v>2025</v>
      </c>
      <c r="B101" t="inlineStr">
        <is>
          <t>第3回</t>
        </is>
      </c>
      <c r="C101" t="inlineStr">
        <is>
          <t>3級</t>
        </is>
      </c>
      <c r="D101" t="inlineStr">
        <is>
          <t>中2</t>
        </is>
      </c>
      <c r="E101" t="inlineStr">
        <is>
          <t>正木 ゆあ</t>
        </is>
      </c>
      <c r="F101" t="inlineStr">
        <is>
          <t>無</t>
        </is>
      </c>
      <c r="G101" t="inlineStr">
        <is>
          <t>不合格</t>
        </is>
      </c>
      <c r="H101" t="inlineStr">
        <is>
          <t>－</t>
        </is>
      </c>
      <c r="J101" t="inlineStr">
        <is>
          <t>G3 -17</t>
        </is>
      </c>
      <c r="K101" t="inlineStr">
        <is>
          <t>－</t>
        </is>
      </c>
      <c r="L101" t="n">
        <v>368</v>
      </c>
      <c r="M101" t="n">
        <v>318</v>
      </c>
      <c r="N101" t="n">
        <v>0</v>
      </c>
      <c r="O101" t="n">
        <v>686</v>
      </c>
      <c r="P101" t="inlineStr">
        <is>
          <t>－</t>
        </is>
      </c>
      <c r="Q101" t="inlineStr">
        <is>
          <t>－</t>
        </is>
      </c>
      <c r="R101" t="inlineStr">
        <is>
          <t>－</t>
        </is>
      </c>
      <c r="S101" t="inlineStr">
        <is>
          <t>－</t>
        </is>
      </c>
      <c r="T101" t="inlineStr">
        <is>
          <t>－</t>
        </is>
      </c>
      <c r="U101" t="inlineStr">
        <is>
          <t>－</t>
        </is>
      </c>
      <c r="V101" t="inlineStr">
        <is>
          <t>－</t>
        </is>
      </c>
      <c r="W101" t="n">
        <v>5</v>
      </c>
      <c r="X101" t="n">
        <v>2</v>
      </c>
      <c r="Y101" t="n">
        <v>8</v>
      </c>
      <c r="AA101">
        <f>SUM(テーブル13[[#This Row],[Reading正答数（大問1）]:[Reading正答数（大問4）]])</f>
        <v/>
      </c>
      <c r="AB101">
        <f>テーブル13[[#This Row],[リーディング正答数]]/30</f>
        <v/>
      </c>
      <c r="AC101" t="n">
        <v>6</v>
      </c>
      <c r="AD101" t="n">
        <v>4</v>
      </c>
      <c r="AE101" t="n">
        <v>5</v>
      </c>
      <c r="AF101">
        <f>SUM(テーブル13[[#This Row],[Listening正答数（大問1）]:[Listening正答数（大問3）]])</f>
        <v/>
      </c>
      <c r="AG101">
        <f>テーブル13[[#This Row],[Listening正答数]]/30</f>
        <v/>
      </c>
      <c r="AH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>
        <f>SUM(テーブル13[[#This Row],[Writing設問1スコア（内容）]:[Writing設問2スコア（文法）]])</f>
        <v/>
      </c>
    </row>
    <row r="102">
      <c r="A102" t="n">
        <v>2025</v>
      </c>
      <c r="B102" t="inlineStr">
        <is>
          <t>第3回</t>
        </is>
      </c>
      <c r="C102" t="inlineStr">
        <is>
          <t>4級</t>
        </is>
      </c>
      <c r="D102" t="inlineStr">
        <is>
          <t>中2</t>
        </is>
      </c>
      <c r="E102" t="inlineStr">
        <is>
          <t>正木 ゆあ</t>
        </is>
      </c>
      <c r="F102" t="inlineStr">
        <is>
          <t>無</t>
        </is>
      </c>
      <c r="G102" t="inlineStr">
        <is>
          <t>不合格</t>
        </is>
      </c>
      <c r="H102" t="inlineStr">
        <is>
          <t>－</t>
        </is>
      </c>
      <c r="J102" t="inlineStr">
        <is>
          <t>G4 -2</t>
        </is>
      </c>
      <c r="K102" t="inlineStr">
        <is>
          <t>－</t>
        </is>
      </c>
      <c r="L102" t="n">
        <v>302</v>
      </c>
      <c r="M102" t="n">
        <v>270</v>
      </c>
      <c r="N102" t="inlineStr">
        <is>
          <t>－</t>
        </is>
      </c>
      <c r="O102" t="n">
        <v>572</v>
      </c>
      <c r="P102" t="inlineStr">
        <is>
          <t>－</t>
        </is>
      </c>
      <c r="Q102" t="inlineStr">
        <is>
          <t>－</t>
        </is>
      </c>
      <c r="R102" t="inlineStr">
        <is>
          <t>*</t>
        </is>
      </c>
      <c r="S102" t="inlineStr">
        <is>
          <t>*</t>
        </is>
      </c>
      <c r="T102" t="inlineStr">
        <is>
          <t>*</t>
        </is>
      </c>
      <c r="U102" t="inlineStr">
        <is>
          <t>*</t>
        </is>
      </c>
      <c r="V102" t="inlineStr">
        <is>
          <t>*</t>
        </is>
      </c>
      <c r="W102" t="n">
        <v>7</v>
      </c>
      <c r="X102" t="n">
        <v>2</v>
      </c>
      <c r="Y102" t="n">
        <v>1</v>
      </c>
      <c r="Z102" t="n">
        <v>6</v>
      </c>
      <c r="AA102">
        <f>SUM(テーブル13[[#This Row],[Reading正答数（大問1）]:[Reading正答数（大問4）]])</f>
        <v/>
      </c>
      <c r="AB102">
        <f>テーブル13[[#This Row],[リーディング正答数]]/35</f>
        <v/>
      </c>
      <c r="AC102" t="n">
        <v>7</v>
      </c>
      <c r="AD102" t="n">
        <v>4</v>
      </c>
      <c r="AE102" t="n">
        <v>4</v>
      </c>
      <c r="AF102">
        <f>SUM(テーブル13[[#This Row],[Listening正答数（大問1）]:[Listening正答数（大問3）]])</f>
        <v/>
      </c>
      <c r="AG102">
        <f>テーブル13[[#This Row],[Listening正答数]]/30</f>
        <v/>
      </c>
    </row>
    <row r="103">
      <c r="A103" t="n">
        <v>2025</v>
      </c>
      <c r="B103" t="inlineStr">
        <is>
          <t>第3回</t>
        </is>
      </c>
      <c r="C103" t="inlineStr">
        <is>
          <t>4級</t>
        </is>
      </c>
      <c r="D103" t="inlineStr">
        <is>
          <t>中2</t>
        </is>
      </c>
      <c r="E103" t="inlineStr">
        <is>
          <t>森下 真那</t>
        </is>
      </c>
      <c r="F103" t="inlineStr">
        <is>
          <t>無</t>
        </is>
      </c>
      <c r="G103" t="inlineStr">
        <is>
          <t>合格</t>
        </is>
      </c>
      <c r="H103" t="inlineStr">
        <is>
          <t>－</t>
        </is>
      </c>
      <c r="J103" t="inlineStr">
        <is>
          <t>G4 +10</t>
        </is>
      </c>
      <c r="K103" t="inlineStr">
        <is>
          <t>－</t>
        </is>
      </c>
      <c r="L103" t="n">
        <v>461</v>
      </c>
      <c r="M103" t="n">
        <v>411</v>
      </c>
      <c r="N103" t="inlineStr">
        <is>
          <t>－</t>
        </is>
      </c>
      <c r="O103" t="n">
        <v>872</v>
      </c>
      <c r="P103" t="inlineStr">
        <is>
          <t>－</t>
        </is>
      </c>
      <c r="Q103" t="inlineStr">
        <is>
          <t>－</t>
        </is>
      </c>
      <c r="R103" t="inlineStr">
        <is>
          <t>*</t>
        </is>
      </c>
      <c r="S103" t="inlineStr">
        <is>
          <t>*</t>
        </is>
      </c>
      <c r="T103" t="inlineStr">
        <is>
          <t>*</t>
        </is>
      </c>
      <c r="U103" t="inlineStr">
        <is>
          <t>*</t>
        </is>
      </c>
      <c r="V103" t="inlineStr">
        <is>
          <t>*</t>
        </is>
      </c>
      <c r="W103" t="n">
        <v>14</v>
      </c>
      <c r="X103" t="n">
        <v>5</v>
      </c>
      <c r="Y103" t="n">
        <v>5</v>
      </c>
      <c r="Z103" t="n">
        <v>10</v>
      </c>
      <c r="AA103">
        <f>SUM(テーブル13[[#This Row],[Reading正答数（大問1）]:[Reading正答数（大問4）]])</f>
        <v/>
      </c>
      <c r="AB103">
        <f>テーブル13[[#This Row],[リーディング正答数]]/35</f>
        <v/>
      </c>
      <c r="AC103" t="n">
        <v>10</v>
      </c>
      <c r="AD103" t="n">
        <v>8</v>
      </c>
      <c r="AE103" t="n">
        <v>10</v>
      </c>
      <c r="AF103">
        <f>SUM(テーブル13[[#This Row],[Listening正答数（大問1）]:[Listening正答数（大問3）]])</f>
        <v/>
      </c>
      <c r="AG103">
        <f>テーブル13[[#This Row],[Listening正答数]]/30</f>
        <v/>
      </c>
    </row>
    <row r="104">
      <c r="A104" t="n">
        <v>2025</v>
      </c>
      <c r="B104" t="inlineStr">
        <is>
          <t>第3回</t>
        </is>
      </c>
      <c r="C104" t="inlineStr">
        <is>
          <t>準2級</t>
        </is>
      </c>
      <c r="D104" t="inlineStr">
        <is>
          <t>中2</t>
        </is>
      </c>
      <c r="E104" t="inlineStr">
        <is>
          <t>松浦 史佳</t>
        </is>
      </c>
      <c r="F104" t="inlineStr">
        <is>
          <t>無</t>
        </is>
      </c>
      <c r="G104" t="inlineStr">
        <is>
          <t>合格</t>
        </is>
      </c>
      <c r="J104" t="inlineStr">
        <is>
          <t>GP2 +6</t>
        </is>
      </c>
      <c r="K104" t="inlineStr">
        <is>
          <t>－</t>
        </is>
      </c>
      <c r="L104" t="n">
        <v>460</v>
      </c>
      <c r="M104" t="n">
        <v>511</v>
      </c>
      <c r="N104" t="n">
        <v>484</v>
      </c>
      <c r="O104" t="n">
        <v>1455</v>
      </c>
      <c r="P104" t="inlineStr">
        <is>
          <t>－</t>
        </is>
      </c>
      <c r="Q104" t="inlineStr">
        <is>
          <t>－</t>
        </is>
      </c>
      <c r="R104" t="inlineStr">
        <is>
          <t>A2</t>
        </is>
      </c>
      <c r="S104" t="inlineStr">
        <is>
          <t>A2</t>
        </is>
      </c>
      <c r="T104" t="inlineStr">
        <is>
          <t>A2</t>
        </is>
      </c>
      <c r="U104" t="inlineStr">
        <is>
          <t>－</t>
        </is>
      </c>
      <c r="V104" t="inlineStr">
        <is>
          <t>－</t>
        </is>
      </c>
      <c r="W104" t="n">
        <v>10</v>
      </c>
      <c r="X104" t="n">
        <v>4</v>
      </c>
      <c r="Y104" t="n">
        <v>1</v>
      </c>
      <c r="Z104" t="n">
        <v>3</v>
      </c>
      <c r="AA104">
        <f>SUM(テーブル13[[#This Row],[Reading正答数（大問1）]:[Reading正答数（大問4）]])</f>
        <v/>
      </c>
      <c r="AB104">
        <f>テーブル13[[#This Row],[リーディング正答数]]/29</f>
        <v/>
      </c>
      <c r="AC104" t="n">
        <v>8</v>
      </c>
      <c r="AD104" t="n">
        <v>8</v>
      </c>
      <c r="AE104" t="n">
        <v>10</v>
      </c>
      <c r="AF104">
        <f>SUM(テーブル13[[#This Row],[Listening正答数（大問1）]:[Listening正答数（大問3）]])</f>
        <v/>
      </c>
      <c r="AG104">
        <f>テーブル13[[#This Row],[Listening正答数]]/30</f>
        <v/>
      </c>
      <c r="AH104" t="n">
        <v>3</v>
      </c>
      <c r="AJ104" t="n">
        <v>3</v>
      </c>
      <c r="AK104" t="n">
        <v>3</v>
      </c>
      <c r="AL104" t="n">
        <v>4</v>
      </c>
      <c r="AM104" t="n">
        <v>3</v>
      </c>
      <c r="AN104" t="n">
        <v>3</v>
      </c>
      <c r="AO104" t="n">
        <v>3</v>
      </c>
      <c r="AP104">
        <f>SUM(テーブル13[[#This Row],[Writing設問1スコア（内容）]:[Writing設問2スコア（文法）]])</f>
        <v/>
      </c>
    </row>
    <row r="105">
      <c r="A105" t="n">
        <v>2025</v>
      </c>
      <c r="B105" t="inlineStr">
        <is>
          <t>第3回</t>
        </is>
      </c>
      <c r="C105" t="inlineStr">
        <is>
          <t>2級</t>
        </is>
      </c>
      <c r="D105" t="inlineStr">
        <is>
          <t>中3</t>
        </is>
      </c>
      <c r="E105" t="inlineStr">
        <is>
          <t>大久保 紘汰</t>
        </is>
      </c>
      <c r="F105" t="inlineStr">
        <is>
          <t>無</t>
        </is>
      </c>
      <c r="G105" t="inlineStr">
        <is>
          <t>不合格</t>
        </is>
      </c>
      <c r="H105" t="inlineStr">
        <is>
          <t>－</t>
        </is>
      </c>
      <c r="J105" t="inlineStr">
        <is>
          <t>G2 -3</t>
        </is>
      </c>
      <c r="K105" t="inlineStr">
        <is>
          <t>－</t>
        </is>
      </c>
      <c r="L105" t="n">
        <v>488</v>
      </c>
      <c r="M105" t="n">
        <v>469</v>
      </c>
      <c r="N105" t="n">
        <v>501</v>
      </c>
      <c r="O105" t="n">
        <v>1458</v>
      </c>
      <c r="P105" t="inlineStr">
        <is>
          <t>－</t>
        </is>
      </c>
      <c r="Q105" t="inlineStr">
        <is>
          <t>－</t>
        </is>
      </c>
      <c r="R105" t="inlineStr">
        <is>
          <t>A2</t>
        </is>
      </c>
      <c r="S105" t="inlineStr">
        <is>
          <t>A2</t>
        </is>
      </c>
      <c r="T105" t="inlineStr">
        <is>
          <t>B1</t>
        </is>
      </c>
      <c r="U105" t="inlineStr">
        <is>
          <t>－</t>
        </is>
      </c>
      <c r="V105" t="inlineStr">
        <is>
          <t>－</t>
        </is>
      </c>
      <c r="W105" t="n">
        <v>7</v>
      </c>
      <c r="X105" t="n">
        <v>5</v>
      </c>
      <c r="Y105" t="n">
        <v>2</v>
      </c>
      <c r="AA105">
        <f>SUM(テーブル13[[#This Row],[Reading正答数（大問1）]:[Reading正答数（大問4）]])</f>
        <v/>
      </c>
      <c r="AB105">
        <f>テーブル13[[#This Row],[リーディング正答数]]/31</f>
        <v/>
      </c>
      <c r="AC105" t="n">
        <v>9</v>
      </c>
      <c r="AD105" t="n">
        <v>9</v>
      </c>
      <c r="AF105">
        <f>SUM(テーブル13[[#This Row],[Listening正答数（大問1）]:[Listening正答数（大問3）]])</f>
        <v/>
      </c>
      <c r="AG105">
        <f>テーブル13[[#This Row],[Listening正答数]]/30</f>
        <v/>
      </c>
      <c r="AH105" t="n">
        <v>3</v>
      </c>
      <c r="AI105" t="n">
        <v>4</v>
      </c>
      <c r="AJ105" t="n">
        <v>2</v>
      </c>
      <c r="AK105" t="n">
        <v>2</v>
      </c>
      <c r="AL105" t="n">
        <v>3</v>
      </c>
      <c r="AM105" t="n">
        <v>3</v>
      </c>
      <c r="AN105" t="n">
        <v>3</v>
      </c>
      <c r="AO105" t="n">
        <v>2</v>
      </c>
      <c r="AP105">
        <f>SUM(テーブル13[[#This Row],[Writing設問1スコア（内容）]:[Writing設問2スコア（文法）]])</f>
        <v/>
      </c>
    </row>
    <row r="106">
      <c r="A106" t="n">
        <v>2025</v>
      </c>
      <c r="B106" t="inlineStr">
        <is>
          <t>第3回</t>
        </is>
      </c>
      <c r="C106" t="inlineStr">
        <is>
          <t>準2級</t>
        </is>
      </c>
      <c r="D106" t="inlineStr">
        <is>
          <t>中3</t>
        </is>
      </c>
      <c r="E106" t="inlineStr">
        <is>
          <t>眞鍋 湊</t>
        </is>
      </c>
      <c r="F106" t="inlineStr">
        <is>
          <t>有</t>
        </is>
      </c>
      <c r="G106" t="inlineStr">
        <is>
          <t>一次免除</t>
        </is>
      </c>
      <c r="J106" t="inlineStr">
        <is>
          <t>GP2 +2</t>
        </is>
      </c>
      <c r="K106" t="inlineStr">
        <is>
          <t>－</t>
        </is>
      </c>
      <c r="L106" t="n">
        <v>468</v>
      </c>
      <c r="M106" t="n">
        <v>452</v>
      </c>
      <c r="N106" t="n">
        <v>453</v>
      </c>
      <c r="O106" t="n">
        <v>1373</v>
      </c>
      <c r="P106" t="inlineStr">
        <is>
          <t>－</t>
        </is>
      </c>
      <c r="Q106" t="inlineStr">
        <is>
          <t>－</t>
        </is>
      </c>
      <c r="R106" t="inlineStr">
        <is>
          <t>A2</t>
        </is>
      </c>
      <c r="S106" t="inlineStr">
        <is>
          <t>A2</t>
        </is>
      </c>
      <c r="T106" t="inlineStr">
        <is>
          <t>A2</t>
        </is>
      </c>
      <c r="U106" t="inlineStr">
        <is>
          <t>－</t>
        </is>
      </c>
      <c r="V106" t="inlineStr">
        <is>
          <t>－</t>
        </is>
      </c>
      <c r="AA106" t="inlineStr">
        <is>
          <t>-</t>
        </is>
      </c>
      <c r="AB106" t="inlineStr">
        <is>
          <t>-</t>
        </is>
      </c>
      <c r="AF106" t="inlineStr">
        <is>
          <t>-</t>
        </is>
      </c>
      <c r="AG106" t="inlineStr">
        <is>
          <t>-</t>
        </is>
      </c>
      <c r="AP106" t="inlineStr">
        <is>
          <t>-</t>
        </is>
      </c>
      <c r="AU106" t="inlineStr">
        <is>
          <t>-</t>
        </is>
      </c>
    </row>
    <row r="107">
      <c r="A107" t="n">
        <v>2025</v>
      </c>
      <c r="B107" t="inlineStr">
        <is>
          <t>第3回</t>
        </is>
      </c>
      <c r="C107" t="inlineStr">
        <is>
          <t>準2級</t>
        </is>
      </c>
      <c r="D107" t="inlineStr">
        <is>
          <t>中3</t>
        </is>
      </c>
      <c r="E107" t="inlineStr">
        <is>
          <t>山中 遥太</t>
        </is>
      </c>
      <c r="F107" t="inlineStr">
        <is>
          <t>無</t>
        </is>
      </c>
      <c r="G107" t="inlineStr">
        <is>
          <t>合格</t>
        </is>
      </c>
      <c r="J107" t="inlineStr">
        <is>
          <t>GP2 +2</t>
        </is>
      </c>
      <c r="K107" t="inlineStr">
        <is>
          <t>－</t>
        </is>
      </c>
      <c r="L107" t="n">
        <v>484</v>
      </c>
      <c r="M107" t="n">
        <v>445</v>
      </c>
      <c r="N107" t="n">
        <v>443</v>
      </c>
      <c r="O107" t="n">
        <v>1372</v>
      </c>
      <c r="P107" t="inlineStr">
        <is>
          <t>－</t>
        </is>
      </c>
      <c r="Q107" t="inlineStr">
        <is>
          <t>－</t>
        </is>
      </c>
      <c r="R107" t="inlineStr">
        <is>
          <t>A2</t>
        </is>
      </c>
      <c r="S107" t="inlineStr">
        <is>
          <t>A2</t>
        </is>
      </c>
      <c r="T107" t="inlineStr">
        <is>
          <t>A2</t>
        </is>
      </c>
      <c r="U107" t="inlineStr">
        <is>
          <t>－</t>
        </is>
      </c>
      <c r="V107" t="inlineStr">
        <is>
          <t>－</t>
        </is>
      </c>
      <c r="W107" t="n">
        <v>11</v>
      </c>
      <c r="X107" t="n">
        <v>5</v>
      </c>
      <c r="Y107" t="n">
        <v>1</v>
      </c>
      <c r="Z107" t="n">
        <v>4</v>
      </c>
      <c r="AA107">
        <f>SUM(テーブル13[[#This Row],[Reading正答数（大問1）]:[Reading正答数（大問4）]])</f>
        <v/>
      </c>
      <c r="AB107">
        <f>テーブル13[[#This Row],[リーディング正答数]]/29</f>
        <v/>
      </c>
      <c r="AC107" t="n">
        <v>5</v>
      </c>
      <c r="AD107" t="n">
        <v>7</v>
      </c>
      <c r="AE107" t="n">
        <v>7</v>
      </c>
      <c r="AF107">
        <f>SUM(テーブル13[[#This Row],[Listening正答数（大問1）]:[Listening正答数（大問3）]])</f>
        <v/>
      </c>
      <c r="AG107">
        <f>テーブル13[[#This Row],[Listening正答数]]/30</f>
        <v/>
      </c>
      <c r="AH107" t="n">
        <v>2</v>
      </c>
      <c r="AJ107" t="n">
        <v>2</v>
      </c>
      <c r="AK107" t="n">
        <v>2</v>
      </c>
      <c r="AL107" t="n">
        <v>3</v>
      </c>
      <c r="AM107" t="n">
        <v>4</v>
      </c>
      <c r="AN107" t="n">
        <v>3</v>
      </c>
      <c r="AO107" t="n">
        <v>3</v>
      </c>
      <c r="AP107">
        <f>SUM(テーブル13[[#This Row],[Writing設問1スコア（内容）]:[Writing設問2スコア（文法）]])</f>
        <v/>
      </c>
    </row>
    <row r="108">
      <c r="A108" t="n">
        <v>2025</v>
      </c>
      <c r="B108" t="inlineStr">
        <is>
          <t>第3回</t>
        </is>
      </c>
      <c r="C108" t="inlineStr">
        <is>
          <t>5級</t>
        </is>
      </c>
      <c r="D108" t="inlineStr">
        <is>
          <t>小2</t>
        </is>
      </c>
      <c r="E108" t="inlineStr">
        <is>
          <t>天野 茉叶那</t>
        </is>
      </c>
      <c r="F108" t="inlineStr">
        <is>
          <t>無</t>
        </is>
      </c>
      <c r="G108" t="inlineStr">
        <is>
          <t>合格</t>
        </is>
      </c>
      <c r="H108" t="inlineStr">
        <is>
          <t>－</t>
        </is>
      </c>
      <c r="J108" t="inlineStr">
        <is>
          <t>G5 +3</t>
        </is>
      </c>
      <c r="K108" t="inlineStr">
        <is>
          <t>－</t>
        </is>
      </c>
      <c r="L108" t="n">
        <v>272</v>
      </c>
      <c r="M108" t="n">
        <v>218</v>
      </c>
      <c r="N108" t="inlineStr">
        <is>
          <t>－</t>
        </is>
      </c>
      <c r="O108" t="n">
        <v>490</v>
      </c>
      <c r="P108" t="inlineStr">
        <is>
          <t>－</t>
        </is>
      </c>
      <c r="Q108" t="inlineStr">
        <is>
          <t>－</t>
        </is>
      </c>
      <c r="R108" t="inlineStr">
        <is>
          <t>*</t>
        </is>
      </c>
      <c r="S108" t="inlineStr">
        <is>
          <t>*</t>
        </is>
      </c>
      <c r="T108" t="inlineStr">
        <is>
          <t>*</t>
        </is>
      </c>
      <c r="U108" t="inlineStr">
        <is>
          <t>*</t>
        </is>
      </c>
      <c r="V108" t="inlineStr">
        <is>
          <t>*</t>
        </is>
      </c>
      <c r="W108" t="n">
        <v>8</v>
      </c>
      <c r="X108" t="n">
        <v>3</v>
      </c>
      <c r="Y108" t="n">
        <v>3</v>
      </c>
      <c r="AA108">
        <f>SUM(テーブル13[[#This Row],[Reading正答数（大問1）]:[Reading正答数（大問4）]])</f>
        <v/>
      </c>
      <c r="AB108">
        <f>テーブル13[[#This Row],[リーディング正答数]]/25</f>
        <v/>
      </c>
      <c r="AC108" t="n">
        <v>6</v>
      </c>
      <c r="AD108" t="n">
        <v>3</v>
      </c>
      <c r="AE108" t="n">
        <v>8</v>
      </c>
      <c r="AF108">
        <f>SUM(テーブル13[[#This Row],[Listening正答数（大問1）]:[Listening正答数（大問3）]])</f>
        <v/>
      </c>
      <c r="AG108">
        <f>テーブル13[[#This Row],[Listening正答数]]/25</f>
        <v/>
      </c>
    </row>
    <row r="109">
      <c r="A109" t="n">
        <v>2025</v>
      </c>
      <c r="B109" t="inlineStr">
        <is>
          <t>第3回</t>
        </is>
      </c>
      <c r="C109" t="inlineStr">
        <is>
          <t>5級</t>
        </is>
      </c>
      <c r="D109" t="inlineStr">
        <is>
          <t>小2</t>
        </is>
      </c>
      <c r="E109" t="inlineStr">
        <is>
          <t>佐藤 朱華</t>
        </is>
      </c>
      <c r="F109" t="inlineStr">
        <is>
          <t>無</t>
        </is>
      </c>
      <c r="G109" t="inlineStr">
        <is>
          <t>不合格</t>
        </is>
      </c>
      <c r="H109" t="inlineStr">
        <is>
          <t>－</t>
        </is>
      </c>
      <c r="J109" t="inlineStr">
        <is>
          <t>G5 -2</t>
        </is>
      </c>
      <c r="K109" t="inlineStr">
        <is>
          <t>－</t>
        </is>
      </c>
      <c r="L109" t="n">
        <v>224</v>
      </c>
      <c r="M109" t="n">
        <v>159</v>
      </c>
      <c r="N109" t="inlineStr">
        <is>
          <t>－</t>
        </is>
      </c>
      <c r="O109" t="n">
        <v>383</v>
      </c>
      <c r="P109" t="inlineStr">
        <is>
          <t>－</t>
        </is>
      </c>
      <c r="Q109" t="inlineStr">
        <is>
          <t>－</t>
        </is>
      </c>
      <c r="R109" t="inlineStr">
        <is>
          <t>*</t>
        </is>
      </c>
      <c r="S109" t="inlineStr">
        <is>
          <t>*</t>
        </is>
      </c>
      <c r="T109" t="inlineStr">
        <is>
          <t>*</t>
        </is>
      </c>
      <c r="U109" t="inlineStr">
        <is>
          <t>*</t>
        </is>
      </c>
      <c r="V109" t="inlineStr">
        <is>
          <t>*</t>
        </is>
      </c>
      <c r="W109" t="n">
        <v>6</v>
      </c>
      <c r="X109" t="n">
        <v>1</v>
      </c>
      <c r="Y109" t="n">
        <v>1</v>
      </c>
      <c r="AA109">
        <f>SUM(テーブル13[[#This Row],[Reading正答数（大問1）]:[Reading正答数（大問4）]])</f>
        <v/>
      </c>
      <c r="AB109">
        <f>テーブル13[[#This Row],[リーディング正答数]]/25</f>
        <v/>
      </c>
      <c r="AC109" t="n">
        <v>2</v>
      </c>
      <c r="AD109" t="n">
        <v>2</v>
      </c>
      <c r="AE109" t="n">
        <v>7</v>
      </c>
      <c r="AF109">
        <f>SUM(テーブル13[[#This Row],[Listening正答数（大問1）]:[Listening正答数（大問3）]])</f>
        <v/>
      </c>
      <c r="AG109">
        <f>テーブル13[[#This Row],[Listening正答数]]/25</f>
        <v/>
      </c>
    </row>
    <row r="110">
      <c r="A110" t="n">
        <v>2025</v>
      </c>
      <c r="B110" t="inlineStr">
        <is>
          <t>第3回</t>
        </is>
      </c>
      <c r="C110" t="inlineStr">
        <is>
          <t>4級</t>
        </is>
      </c>
      <c r="D110" t="inlineStr">
        <is>
          <t>小2</t>
        </is>
      </c>
      <c r="E110" t="inlineStr">
        <is>
          <t>栁川 奈那</t>
        </is>
      </c>
      <c r="F110" t="inlineStr">
        <is>
          <t>無</t>
        </is>
      </c>
      <c r="G110" t="inlineStr">
        <is>
          <t>不合格</t>
        </is>
      </c>
      <c r="H110" t="inlineStr">
        <is>
          <t>－</t>
        </is>
      </c>
      <c r="J110" t="inlineStr">
        <is>
          <t>G4 -2</t>
        </is>
      </c>
      <c r="K110" t="inlineStr">
        <is>
          <t>－</t>
        </is>
      </c>
      <c r="L110" t="n">
        <v>275</v>
      </c>
      <c r="M110" t="n">
        <v>301</v>
      </c>
      <c r="N110" t="inlineStr">
        <is>
          <t>－</t>
        </is>
      </c>
      <c r="O110" t="n">
        <v>576</v>
      </c>
      <c r="P110" t="inlineStr">
        <is>
          <t>－</t>
        </is>
      </c>
      <c r="Q110" t="inlineStr">
        <is>
          <t>－</t>
        </is>
      </c>
      <c r="R110" t="inlineStr">
        <is>
          <t>*</t>
        </is>
      </c>
      <c r="S110" t="inlineStr">
        <is>
          <t>*</t>
        </is>
      </c>
      <c r="T110" t="inlineStr">
        <is>
          <t>*</t>
        </is>
      </c>
      <c r="U110" t="inlineStr">
        <is>
          <t>*</t>
        </is>
      </c>
      <c r="V110" t="inlineStr">
        <is>
          <t>*</t>
        </is>
      </c>
      <c r="W110" t="n">
        <v>5</v>
      </c>
      <c r="X110" t="n">
        <v>2</v>
      </c>
      <c r="Y110" t="n">
        <v>2</v>
      </c>
      <c r="Z110" t="n">
        <v>2</v>
      </c>
      <c r="AA110">
        <f>SUM(テーブル13[[#This Row],[Reading正答数（大問1）]:[Reading正答数（大問4）]])</f>
        <v/>
      </c>
      <c r="AB110">
        <f>テーブル13[[#This Row],[リーディング正答数]]/35</f>
        <v/>
      </c>
      <c r="AC110" t="n">
        <v>8</v>
      </c>
      <c r="AD110" t="n">
        <v>5</v>
      </c>
      <c r="AE110" t="n">
        <v>6</v>
      </c>
      <c r="AF110">
        <f>SUM(テーブル13[[#This Row],[Listening正答数（大問1）]:[Listening正答数（大問3）]])</f>
        <v/>
      </c>
      <c r="AG110">
        <f>テーブル13[[#This Row],[Listening正答数]]/30</f>
        <v/>
      </c>
    </row>
    <row r="111">
      <c r="A111" t="n">
        <v>2025</v>
      </c>
      <c r="B111" t="inlineStr">
        <is>
          <t>第3回</t>
        </is>
      </c>
      <c r="C111" t="inlineStr">
        <is>
          <t>5級</t>
        </is>
      </c>
      <c r="D111" t="inlineStr">
        <is>
          <t>小3</t>
        </is>
      </c>
      <c r="E111" t="inlineStr">
        <is>
          <t>山田 依千</t>
        </is>
      </c>
      <c r="F111" t="inlineStr">
        <is>
          <t>無</t>
        </is>
      </c>
      <c r="G111" t="inlineStr">
        <is>
          <t>合格</t>
        </is>
      </c>
      <c r="H111" t="inlineStr">
        <is>
          <t>－</t>
        </is>
      </c>
      <c r="J111" t="inlineStr">
        <is>
          <t>G5 +2</t>
        </is>
      </c>
      <c r="K111" t="inlineStr">
        <is>
          <t>－</t>
        </is>
      </c>
      <c r="L111" t="n">
        <v>256</v>
      </c>
      <c r="M111" t="n">
        <v>208</v>
      </c>
      <c r="N111" t="inlineStr">
        <is>
          <t>－</t>
        </is>
      </c>
      <c r="O111" t="n">
        <v>464</v>
      </c>
      <c r="P111" t="inlineStr">
        <is>
          <t>－</t>
        </is>
      </c>
      <c r="Q111" t="inlineStr">
        <is>
          <t>－</t>
        </is>
      </c>
      <c r="R111" t="inlineStr">
        <is>
          <t>*</t>
        </is>
      </c>
      <c r="S111" t="inlineStr">
        <is>
          <t>*</t>
        </is>
      </c>
      <c r="T111" t="inlineStr">
        <is>
          <t>*</t>
        </is>
      </c>
      <c r="U111" t="inlineStr">
        <is>
          <t>*</t>
        </is>
      </c>
      <c r="V111" t="inlineStr">
        <is>
          <t>*</t>
        </is>
      </c>
      <c r="W111" t="n">
        <v>8</v>
      </c>
      <c r="X111" t="n">
        <v>3</v>
      </c>
      <c r="Y111" t="n">
        <v>1</v>
      </c>
      <c r="AA111">
        <f>SUM(テーブル13[[#This Row],[Reading正答数（大問1）]:[Reading正答数（大問4）]])</f>
        <v/>
      </c>
      <c r="AB111">
        <f>テーブル13[[#This Row],[リーディング正答数]]/25</f>
        <v/>
      </c>
      <c r="AC111" t="n">
        <v>4</v>
      </c>
      <c r="AD111" t="n">
        <v>4</v>
      </c>
      <c r="AE111" t="n">
        <v>8</v>
      </c>
      <c r="AF111">
        <f>SUM(テーブル13[[#This Row],[Listening正答数（大問1）]:[Listening正答数（大問3）]])</f>
        <v/>
      </c>
      <c r="AG111">
        <f>テーブル13[[#This Row],[Listening正答数]]/25</f>
        <v/>
      </c>
    </row>
    <row r="112">
      <c r="A112" t="n">
        <v>2025</v>
      </c>
      <c r="B112" t="inlineStr">
        <is>
          <t>第3回</t>
        </is>
      </c>
      <c r="C112" t="inlineStr">
        <is>
          <t>4級</t>
        </is>
      </c>
      <c r="D112" t="inlineStr">
        <is>
          <t>小3</t>
        </is>
      </c>
      <c r="E112" t="inlineStr">
        <is>
          <t>住吉 由宇</t>
        </is>
      </c>
      <c r="F112" t="inlineStr">
        <is>
          <t>無</t>
        </is>
      </c>
      <c r="G112" t="inlineStr">
        <is>
          <t>合格</t>
        </is>
      </c>
      <c r="H112" t="inlineStr">
        <is>
          <t>－</t>
        </is>
      </c>
      <c r="J112" t="inlineStr">
        <is>
          <t>G4 +5</t>
        </is>
      </c>
      <c r="K112" t="inlineStr">
        <is>
          <t>－</t>
        </is>
      </c>
      <c r="L112" t="n">
        <v>372</v>
      </c>
      <c r="M112" t="n">
        <v>372</v>
      </c>
      <c r="N112" t="inlineStr">
        <is>
          <t>－</t>
        </is>
      </c>
      <c r="O112" t="n">
        <v>744</v>
      </c>
      <c r="P112" t="inlineStr">
        <is>
          <t>－</t>
        </is>
      </c>
      <c r="Q112" t="inlineStr">
        <is>
          <t>－</t>
        </is>
      </c>
      <c r="R112" t="inlineStr">
        <is>
          <t>*</t>
        </is>
      </c>
      <c r="S112" t="inlineStr">
        <is>
          <t>*</t>
        </is>
      </c>
      <c r="T112" t="inlineStr">
        <is>
          <t>*</t>
        </is>
      </c>
      <c r="U112" t="inlineStr">
        <is>
          <t>*</t>
        </is>
      </c>
      <c r="V112" t="inlineStr">
        <is>
          <t>*</t>
        </is>
      </c>
      <c r="W112" t="n">
        <v>13</v>
      </c>
      <c r="X112" t="n">
        <v>3</v>
      </c>
      <c r="Y112" t="n">
        <v>4</v>
      </c>
      <c r="Z112" t="n">
        <v>8</v>
      </c>
      <c r="AA112">
        <f>SUM(テーブル13[[#This Row],[Reading正答数（大問1）]:[Reading正答数（大問4）]])</f>
        <v/>
      </c>
      <c r="AB112">
        <f>テーブル13[[#This Row],[リーディング正答数]]/35</f>
        <v/>
      </c>
      <c r="AC112" t="n">
        <v>9</v>
      </c>
      <c r="AD112" t="n">
        <v>10</v>
      </c>
      <c r="AE112" t="n">
        <v>7</v>
      </c>
      <c r="AF112">
        <f>SUM(テーブル13[[#This Row],[Listening正答数（大問1）]:[Listening正答数（大問3）]])</f>
        <v/>
      </c>
      <c r="AG112">
        <f>テーブル13[[#This Row],[Listening正答数]]/30</f>
        <v/>
      </c>
    </row>
    <row r="113">
      <c r="A113" t="n">
        <v>2025</v>
      </c>
      <c r="B113" t="inlineStr">
        <is>
          <t>第3回</t>
        </is>
      </c>
      <c r="C113" t="inlineStr">
        <is>
          <t>5級</t>
        </is>
      </c>
      <c r="D113" t="inlineStr">
        <is>
          <t>小4</t>
        </is>
      </c>
      <c r="E113" t="inlineStr">
        <is>
          <t>?田 有杜</t>
        </is>
      </c>
      <c r="F113" t="inlineStr">
        <is>
          <t>無</t>
        </is>
      </c>
      <c r="G113" t="inlineStr">
        <is>
          <t>合格</t>
        </is>
      </c>
      <c r="H113" t="inlineStr">
        <is>
          <t>－</t>
        </is>
      </c>
      <c r="J113" t="inlineStr">
        <is>
          <t>G5 +4</t>
        </is>
      </c>
      <c r="K113" t="inlineStr">
        <is>
          <t>－</t>
        </is>
      </c>
      <c r="L113" t="n">
        <v>264</v>
      </c>
      <c r="M113" t="n">
        <v>240</v>
      </c>
      <c r="N113" t="inlineStr">
        <is>
          <t>－</t>
        </is>
      </c>
      <c r="O113" t="n">
        <v>504</v>
      </c>
      <c r="P113" t="inlineStr">
        <is>
          <t>－</t>
        </is>
      </c>
      <c r="Q113" t="inlineStr">
        <is>
          <t>－</t>
        </is>
      </c>
      <c r="R113" t="inlineStr">
        <is>
          <t>*</t>
        </is>
      </c>
      <c r="S113" t="inlineStr">
        <is>
          <t>*</t>
        </is>
      </c>
      <c r="T113" t="inlineStr">
        <is>
          <t>*</t>
        </is>
      </c>
      <c r="U113" t="inlineStr">
        <is>
          <t>*</t>
        </is>
      </c>
      <c r="V113" t="inlineStr">
        <is>
          <t>*</t>
        </is>
      </c>
      <c r="W113" t="n">
        <v>8</v>
      </c>
      <c r="X113" t="n">
        <v>3</v>
      </c>
      <c r="Y113" t="n">
        <v>2</v>
      </c>
      <c r="AA113">
        <f>SUM(テーブル13[[#This Row],[Reading正答数（大問1）]:[Reading正答数（大問4）]])</f>
        <v/>
      </c>
      <c r="AB113">
        <f>テーブル13[[#This Row],[リーディング正答数]]/25</f>
        <v/>
      </c>
      <c r="AC113" t="n">
        <v>5</v>
      </c>
      <c r="AD113" t="n">
        <v>5</v>
      </c>
      <c r="AE113" t="n">
        <v>9</v>
      </c>
      <c r="AF113">
        <f>SUM(テーブル13[[#This Row],[Listening正答数（大問1）]:[Listening正答数（大問3）]])</f>
        <v/>
      </c>
      <c r="AG113">
        <f>テーブル13[[#This Row],[Listening正答数]]/25</f>
        <v/>
      </c>
    </row>
    <row r="114">
      <c r="A114" t="n">
        <v>2025</v>
      </c>
      <c r="B114" t="inlineStr">
        <is>
          <t>第3回</t>
        </is>
      </c>
      <c r="C114" t="inlineStr">
        <is>
          <t>5級</t>
        </is>
      </c>
      <c r="D114" t="inlineStr">
        <is>
          <t>小4</t>
        </is>
      </c>
      <c r="E114" t="inlineStr">
        <is>
          <t>古川 怜奈</t>
        </is>
      </c>
      <c r="F114" t="inlineStr">
        <is>
          <t>無</t>
        </is>
      </c>
      <c r="G114" t="inlineStr">
        <is>
          <t>合格</t>
        </is>
      </c>
      <c r="H114" t="inlineStr">
        <is>
          <t>－</t>
        </is>
      </c>
      <c r="J114" t="inlineStr">
        <is>
          <t>G5 +1</t>
        </is>
      </c>
      <c r="K114" t="inlineStr">
        <is>
          <t>－</t>
        </is>
      </c>
      <c r="L114" t="n">
        <v>264</v>
      </c>
      <c r="M114" t="n">
        <v>178</v>
      </c>
      <c r="N114" t="inlineStr">
        <is>
          <t>－</t>
        </is>
      </c>
      <c r="O114" t="n">
        <v>442</v>
      </c>
      <c r="P114" t="inlineStr">
        <is>
          <t>－</t>
        </is>
      </c>
      <c r="Q114" t="inlineStr">
        <is>
          <t>－</t>
        </is>
      </c>
      <c r="R114" t="inlineStr">
        <is>
          <t>*</t>
        </is>
      </c>
      <c r="S114" t="inlineStr">
        <is>
          <t>*</t>
        </is>
      </c>
      <c r="T114" t="inlineStr">
        <is>
          <t>*</t>
        </is>
      </c>
      <c r="U114" t="inlineStr">
        <is>
          <t>*</t>
        </is>
      </c>
      <c r="V114" t="inlineStr">
        <is>
          <t>*</t>
        </is>
      </c>
      <c r="W114" t="n">
        <v>7</v>
      </c>
      <c r="X114" t="n">
        <v>4</v>
      </c>
      <c r="Y114" t="n">
        <v>2</v>
      </c>
      <c r="AA114">
        <f>SUM(テーブル13[[#This Row],[Reading正答数（大問1）]:[Reading正答数（大問4）]])</f>
        <v/>
      </c>
      <c r="AB114">
        <f>テーブル13[[#This Row],[リーディング正答数]]/25</f>
        <v/>
      </c>
      <c r="AC114" t="n">
        <v>3</v>
      </c>
      <c r="AD114" t="n">
        <v>3</v>
      </c>
      <c r="AE114" t="n">
        <v>7</v>
      </c>
      <c r="AF114">
        <f>SUM(テーブル13[[#This Row],[Listening正答数（大問1）]:[Listening正答数（大問3）]])</f>
        <v/>
      </c>
      <c r="AG114">
        <f>テーブル13[[#This Row],[Listening正答数]]/25</f>
        <v/>
      </c>
    </row>
    <row r="115">
      <c r="A115" t="n">
        <v>2025</v>
      </c>
      <c r="B115" t="inlineStr">
        <is>
          <t>第3回</t>
        </is>
      </c>
      <c r="C115" t="inlineStr">
        <is>
          <t>5級</t>
        </is>
      </c>
      <c r="D115" t="inlineStr">
        <is>
          <t>小4</t>
        </is>
      </c>
      <c r="E115" t="inlineStr">
        <is>
          <t>丸岡 千紗</t>
        </is>
      </c>
      <c r="F115" t="inlineStr">
        <is>
          <t>無</t>
        </is>
      </c>
      <c r="G115" t="inlineStr">
        <is>
          <t>合格</t>
        </is>
      </c>
      <c r="H115" t="inlineStr">
        <is>
          <t>－</t>
        </is>
      </c>
      <c r="J115" t="inlineStr">
        <is>
          <t>G5 +1</t>
        </is>
      </c>
      <c r="K115" t="inlineStr">
        <is>
          <t>－</t>
        </is>
      </c>
      <c r="L115" t="n">
        <v>249</v>
      </c>
      <c r="M115" t="n">
        <v>188</v>
      </c>
      <c r="N115" t="inlineStr">
        <is>
          <t>－</t>
        </is>
      </c>
      <c r="O115" t="n">
        <v>437</v>
      </c>
      <c r="P115" t="inlineStr">
        <is>
          <t>－</t>
        </is>
      </c>
      <c r="Q115" t="inlineStr">
        <is>
          <t>－</t>
        </is>
      </c>
      <c r="R115" t="inlineStr">
        <is>
          <t>*</t>
        </is>
      </c>
      <c r="S115" t="inlineStr">
        <is>
          <t>*</t>
        </is>
      </c>
      <c r="T115" t="inlineStr">
        <is>
          <t>*</t>
        </is>
      </c>
      <c r="U115" t="inlineStr">
        <is>
          <t>*</t>
        </is>
      </c>
      <c r="V115" t="inlineStr">
        <is>
          <t>*</t>
        </is>
      </c>
      <c r="W115" t="n">
        <v>8</v>
      </c>
      <c r="X115" t="n">
        <v>1</v>
      </c>
      <c r="Y115" t="n">
        <v>2</v>
      </c>
      <c r="AA115">
        <f>SUM(テーブル13[[#This Row],[Reading正答数（大問1）]:[Reading正答数（大問4）]])</f>
        <v/>
      </c>
      <c r="AB115">
        <f>テーブル13[[#This Row],[リーディング正答数]]/25</f>
        <v/>
      </c>
      <c r="AC115" t="n">
        <v>3</v>
      </c>
      <c r="AD115" t="n">
        <v>4</v>
      </c>
      <c r="AE115" t="n">
        <v>7</v>
      </c>
      <c r="AF115">
        <f>SUM(テーブル13[[#This Row],[Listening正答数（大問1）]:[Listening正答数（大問3）]])</f>
        <v/>
      </c>
      <c r="AG115">
        <f>テーブル13[[#This Row],[Listening正答数]]/25</f>
        <v/>
      </c>
    </row>
    <row r="116">
      <c r="A116" t="n">
        <v>2025</v>
      </c>
      <c r="B116" t="inlineStr">
        <is>
          <t>第3回</t>
        </is>
      </c>
      <c r="C116" t="inlineStr">
        <is>
          <t>4級</t>
        </is>
      </c>
      <c r="D116" t="inlineStr">
        <is>
          <t>小4</t>
        </is>
      </c>
      <c r="E116" t="inlineStr">
        <is>
          <t>磯﨑 遥希</t>
        </is>
      </c>
      <c r="F116" t="inlineStr">
        <is>
          <t>無</t>
        </is>
      </c>
      <c r="G116" t="inlineStr">
        <is>
          <t>合格</t>
        </is>
      </c>
      <c r="H116" t="inlineStr">
        <is>
          <t>－</t>
        </is>
      </c>
      <c r="J116" t="inlineStr">
        <is>
          <t>G4 +4</t>
        </is>
      </c>
      <c r="K116" t="inlineStr">
        <is>
          <t>－</t>
        </is>
      </c>
      <c r="L116" t="n">
        <v>313</v>
      </c>
      <c r="M116" t="n">
        <v>389</v>
      </c>
      <c r="N116" t="inlineStr">
        <is>
          <t>－</t>
        </is>
      </c>
      <c r="O116" t="n">
        <v>702</v>
      </c>
      <c r="P116" t="inlineStr">
        <is>
          <t>－</t>
        </is>
      </c>
      <c r="Q116" t="inlineStr">
        <is>
          <t>－</t>
        </is>
      </c>
      <c r="R116" t="inlineStr">
        <is>
          <t>*</t>
        </is>
      </c>
      <c r="S116" t="inlineStr">
        <is>
          <t>*</t>
        </is>
      </c>
      <c r="T116" t="inlineStr">
        <is>
          <t>*</t>
        </is>
      </c>
      <c r="U116" t="inlineStr">
        <is>
          <t>*</t>
        </is>
      </c>
      <c r="V116" t="inlineStr">
        <is>
          <t>*</t>
        </is>
      </c>
      <c r="W116" t="n">
        <v>6</v>
      </c>
      <c r="X116" t="n">
        <v>1</v>
      </c>
      <c r="Y116" t="n">
        <v>3</v>
      </c>
      <c r="Z116" t="n">
        <v>8</v>
      </c>
      <c r="AA116">
        <f>SUM(テーブル13[[#This Row],[Reading正答数（大問1）]:[Reading正答数（大問4）]])</f>
        <v/>
      </c>
      <c r="AB116">
        <f>テーブル13[[#This Row],[リーディング正答数]]/35</f>
        <v/>
      </c>
      <c r="AC116" t="n">
        <v>10</v>
      </c>
      <c r="AD116" t="n">
        <v>9</v>
      </c>
      <c r="AE116" t="n">
        <v>8</v>
      </c>
      <c r="AF116">
        <f>SUM(テーブル13[[#This Row],[Listening正答数（大問1）]:[Listening正答数（大問3）]])</f>
        <v/>
      </c>
      <c r="AG116">
        <f>テーブル13[[#This Row],[Listening正答数]]/30</f>
        <v/>
      </c>
    </row>
    <row r="117">
      <c r="A117" t="n">
        <v>2025</v>
      </c>
      <c r="B117" t="inlineStr">
        <is>
          <t>第3回</t>
        </is>
      </c>
      <c r="C117" t="inlineStr">
        <is>
          <t>4級</t>
        </is>
      </c>
      <c r="D117" t="inlineStr">
        <is>
          <t>小4</t>
        </is>
      </c>
      <c r="E117" t="inlineStr">
        <is>
          <t>山内 康士朗</t>
        </is>
      </c>
      <c r="F117" t="inlineStr">
        <is>
          <t>無</t>
        </is>
      </c>
      <c r="G117" t="inlineStr">
        <is>
          <t>合格</t>
        </is>
      </c>
      <c r="H117" t="inlineStr">
        <is>
          <t>－</t>
        </is>
      </c>
      <c r="J117" t="inlineStr">
        <is>
          <t>G4 +2</t>
        </is>
      </c>
      <c r="K117" t="inlineStr">
        <is>
          <t>－</t>
        </is>
      </c>
      <c r="L117" t="n">
        <v>323</v>
      </c>
      <c r="M117" t="n">
        <v>327</v>
      </c>
      <c r="N117" t="inlineStr">
        <is>
          <t>－</t>
        </is>
      </c>
      <c r="O117" t="n">
        <v>650</v>
      </c>
      <c r="P117" t="inlineStr">
        <is>
          <t>－</t>
        </is>
      </c>
      <c r="Q117" t="inlineStr">
        <is>
          <t>－</t>
        </is>
      </c>
      <c r="R117" t="inlineStr">
        <is>
          <t>*</t>
        </is>
      </c>
      <c r="S117" t="inlineStr">
        <is>
          <t>*</t>
        </is>
      </c>
      <c r="T117" t="inlineStr">
        <is>
          <t>*</t>
        </is>
      </c>
      <c r="U117" t="inlineStr">
        <is>
          <t>*</t>
        </is>
      </c>
      <c r="V117" t="inlineStr">
        <is>
          <t>*</t>
        </is>
      </c>
      <c r="W117" t="n">
        <v>8</v>
      </c>
      <c r="X117" t="n">
        <v>3</v>
      </c>
      <c r="Y117" t="n">
        <v>1</v>
      </c>
      <c r="Z117" t="n">
        <v>8</v>
      </c>
      <c r="AA117">
        <f>SUM(テーブル13[[#This Row],[Reading正答数（大問1）]:[Reading正答数（大問4）]])</f>
        <v/>
      </c>
      <c r="AB117">
        <f>テーブル13[[#This Row],[リーディング正答数]]/35</f>
        <v/>
      </c>
      <c r="AC117" t="n">
        <v>9</v>
      </c>
      <c r="AD117" t="n">
        <v>8</v>
      </c>
      <c r="AE117" t="n">
        <v>5</v>
      </c>
      <c r="AF117">
        <f>SUM(テーブル13[[#This Row],[Listening正答数（大問1）]:[Listening正答数（大問3）]])</f>
        <v/>
      </c>
      <c r="AG117">
        <f>テーブル13[[#This Row],[Listening正答数]]/30</f>
        <v/>
      </c>
    </row>
    <row r="118">
      <c r="A118" t="n">
        <v>2025</v>
      </c>
      <c r="B118" t="inlineStr">
        <is>
          <t>第3回</t>
        </is>
      </c>
      <c r="C118" t="inlineStr">
        <is>
          <t>4級</t>
        </is>
      </c>
      <c r="D118" t="inlineStr">
        <is>
          <t>小5</t>
        </is>
      </c>
      <c r="E118" t="inlineStr">
        <is>
          <t>山田 稜太</t>
        </is>
      </c>
      <c r="F118" t="inlineStr">
        <is>
          <t>無</t>
        </is>
      </c>
      <c r="G118" t="inlineStr">
        <is>
          <t>合格</t>
        </is>
      </c>
      <c r="H118" t="inlineStr">
        <is>
          <t>－</t>
        </is>
      </c>
      <c r="J118" t="inlineStr">
        <is>
          <t>G4 +1</t>
        </is>
      </c>
      <c r="K118" t="inlineStr">
        <is>
          <t>－</t>
        </is>
      </c>
      <c r="L118" t="n">
        <v>329</v>
      </c>
      <c r="M118" t="n">
        <v>309</v>
      </c>
      <c r="N118" t="inlineStr">
        <is>
          <t>－</t>
        </is>
      </c>
      <c r="O118" t="n">
        <v>638</v>
      </c>
      <c r="P118" t="inlineStr">
        <is>
          <t>－</t>
        </is>
      </c>
      <c r="Q118" t="inlineStr">
        <is>
          <t>－</t>
        </is>
      </c>
      <c r="R118" t="inlineStr">
        <is>
          <t>*</t>
        </is>
      </c>
      <c r="S118" t="inlineStr">
        <is>
          <t>*</t>
        </is>
      </c>
      <c r="T118" t="inlineStr">
        <is>
          <t>*</t>
        </is>
      </c>
      <c r="U118" t="inlineStr">
        <is>
          <t>*</t>
        </is>
      </c>
      <c r="V118" t="inlineStr">
        <is>
          <t>*</t>
        </is>
      </c>
      <c r="W118" t="n">
        <v>10</v>
      </c>
      <c r="X118" t="n">
        <v>2</v>
      </c>
      <c r="Y118" t="n">
        <v>2</v>
      </c>
      <c r="Z118" t="n">
        <v>7</v>
      </c>
      <c r="AA118">
        <f>SUM(テーブル13[[#This Row],[Reading正答数（大問1）]:[Reading正答数（大問4）]])</f>
        <v/>
      </c>
      <c r="AB118">
        <f>テーブル13[[#This Row],[リーディング正答数]]/35</f>
        <v/>
      </c>
      <c r="AC118" t="n">
        <v>5</v>
      </c>
      <c r="AD118" t="n">
        <v>10</v>
      </c>
      <c r="AE118" t="n">
        <v>5</v>
      </c>
      <c r="AF118">
        <f>SUM(テーブル13[[#This Row],[Listening正答数（大問1）]:[Listening正答数（大問3）]])</f>
        <v/>
      </c>
      <c r="AG118">
        <f>テーブル13[[#This Row],[Listening正答数]]/30</f>
        <v/>
      </c>
    </row>
    <row r="119">
      <c r="A119" t="n">
        <v>2025</v>
      </c>
      <c r="B119" t="inlineStr">
        <is>
          <t>第3回</t>
        </is>
      </c>
      <c r="C119" t="inlineStr">
        <is>
          <t>5級</t>
        </is>
      </c>
      <c r="D119" t="inlineStr">
        <is>
          <t>小5</t>
        </is>
      </c>
      <c r="E119" t="inlineStr">
        <is>
          <t>水本 悠景</t>
        </is>
      </c>
      <c r="F119" t="inlineStr">
        <is>
          <t>無</t>
        </is>
      </c>
      <c r="G119" t="inlineStr">
        <is>
          <t>合格</t>
        </is>
      </c>
      <c r="H119" t="inlineStr">
        <is>
          <t>－</t>
        </is>
      </c>
      <c r="J119" t="inlineStr">
        <is>
          <t>G5 +10</t>
        </is>
      </c>
      <c r="K119" t="inlineStr">
        <is>
          <t>－</t>
        </is>
      </c>
      <c r="L119" t="n">
        <v>352</v>
      </c>
      <c r="M119" t="n">
        <v>306</v>
      </c>
      <c r="N119" t="inlineStr">
        <is>
          <t>－</t>
        </is>
      </c>
      <c r="O119" t="n">
        <v>658</v>
      </c>
      <c r="P119" t="inlineStr">
        <is>
          <t>－</t>
        </is>
      </c>
      <c r="Q119" t="inlineStr">
        <is>
          <t>－</t>
        </is>
      </c>
      <c r="R119" t="inlineStr">
        <is>
          <t>*</t>
        </is>
      </c>
      <c r="S119" t="inlineStr">
        <is>
          <t>*</t>
        </is>
      </c>
      <c r="T119" t="inlineStr">
        <is>
          <t>*</t>
        </is>
      </c>
      <c r="U119" t="inlineStr">
        <is>
          <t>*</t>
        </is>
      </c>
      <c r="V119" t="inlineStr">
        <is>
          <t>*</t>
        </is>
      </c>
      <c r="W119" t="n">
        <v>13</v>
      </c>
      <c r="X119" t="n">
        <v>4</v>
      </c>
      <c r="Y119" t="n">
        <v>5</v>
      </c>
      <c r="AA119">
        <f>SUM(テーブル13[[#This Row],[Reading正答数（大問1）]:[Reading正答数（大問4）]])</f>
        <v/>
      </c>
      <c r="AB119">
        <f>テーブル13[[#This Row],[リーディング正答数]]/25</f>
        <v/>
      </c>
      <c r="AC119" t="n">
        <v>8</v>
      </c>
      <c r="AD119" t="n">
        <v>5</v>
      </c>
      <c r="AE119" t="n">
        <v>10</v>
      </c>
      <c r="AF119">
        <f>SUM(テーブル13[[#This Row],[Listening正答数（大問1）]:[Listening正答数（大問3）]])</f>
        <v/>
      </c>
      <c r="AG119">
        <f>テーブル13[[#This Row],[Listening正答数]]/25</f>
        <v/>
      </c>
    </row>
    <row r="120">
      <c r="A120" t="n">
        <v>2025</v>
      </c>
      <c r="B120" t="inlineStr">
        <is>
          <t>第3回</t>
        </is>
      </c>
      <c r="C120" t="inlineStr">
        <is>
          <t>5級</t>
        </is>
      </c>
      <c r="D120" t="inlineStr">
        <is>
          <t>小5</t>
        </is>
      </c>
      <c r="E120" t="inlineStr">
        <is>
          <t>大塚 ゼイン</t>
        </is>
      </c>
      <c r="F120" t="inlineStr">
        <is>
          <t>無</t>
        </is>
      </c>
      <c r="G120" t="inlineStr">
        <is>
          <t>合格</t>
        </is>
      </c>
      <c r="H120" t="inlineStr">
        <is>
          <t>－</t>
        </is>
      </c>
      <c r="J120" t="inlineStr">
        <is>
          <t>G5 +4</t>
        </is>
      </c>
      <c r="K120" t="inlineStr">
        <is>
          <t>－</t>
        </is>
      </c>
      <c r="L120" t="n">
        <v>233</v>
      </c>
      <c r="M120" t="n">
        <v>284</v>
      </c>
      <c r="N120" t="inlineStr">
        <is>
          <t>－</t>
        </is>
      </c>
      <c r="O120" t="n">
        <v>517</v>
      </c>
      <c r="P120" t="inlineStr">
        <is>
          <t>－</t>
        </is>
      </c>
      <c r="Q120" t="inlineStr">
        <is>
          <t>－</t>
        </is>
      </c>
      <c r="R120" t="inlineStr">
        <is>
          <t>*</t>
        </is>
      </c>
      <c r="S120" t="inlineStr">
        <is>
          <t>*</t>
        </is>
      </c>
      <c r="T120" t="inlineStr">
        <is>
          <t>*</t>
        </is>
      </c>
      <c r="U120" t="inlineStr">
        <is>
          <t>*</t>
        </is>
      </c>
      <c r="V120" t="inlineStr">
        <is>
          <t>*</t>
        </is>
      </c>
      <c r="W120" t="n">
        <v>6</v>
      </c>
      <c r="X120" t="n">
        <v>0</v>
      </c>
      <c r="Y120" t="n">
        <v>3</v>
      </c>
      <c r="AA120">
        <f>SUM(テーブル13[[#This Row],[Reading正答数（大問1）]:[Reading正答数（大問4）]])</f>
        <v/>
      </c>
      <c r="AB120">
        <f>テーブル13[[#This Row],[リーディング正答数]]/25</f>
        <v/>
      </c>
      <c r="AC120" t="n">
        <v>8</v>
      </c>
      <c r="AD120" t="n">
        <v>4</v>
      </c>
      <c r="AE120" t="n">
        <v>10</v>
      </c>
      <c r="AF120">
        <f>SUM(テーブル13[[#This Row],[Listening正答数（大問1）]:[Listening正答数（大問3）]])</f>
        <v/>
      </c>
      <c r="AG120">
        <f>テーブル13[[#This Row],[Listening正答数]]/25</f>
        <v/>
      </c>
    </row>
    <row r="121">
      <c r="A121" t="n">
        <v>2025</v>
      </c>
      <c r="B121" t="inlineStr">
        <is>
          <t>第3回</t>
        </is>
      </c>
      <c r="C121" t="inlineStr">
        <is>
          <t>5級</t>
        </is>
      </c>
      <c r="D121" t="inlineStr">
        <is>
          <t>小5</t>
        </is>
      </c>
      <c r="E121" t="inlineStr">
        <is>
          <t>銅突 杷菜</t>
        </is>
      </c>
      <c r="F121" t="inlineStr">
        <is>
          <t>無</t>
        </is>
      </c>
      <c r="G121" t="inlineStr">
        <is>
          <t>不合格</t>
        </is>
      </c>
      <c r="H121" t="inlineStr">
        <is>
          <t>－</t>
        </is>
      </c>
      <c r="J121" t="inlineStr">
        <is>
          <t>G5 -1</t>
        </is>
      </c>
      <c r="K121" t="inlineStr">
        <is>
          <t>－</t>
        </is>
      </c>
      <c r="L121" t="n">
        <v>241</v>
      </c>
      <c r="M121" t="n">
        <v>169</v>
      </c>
      <c r="N121" t="inlineStr">
        <is>
          <t>－</t>
        </is>
      </c>
      <c r="O121" t="n">
        <v>410</v>
      </c>
      <c r="P121" t="inlineStr">
        <is>
          <t>－</t>
        </is>
      </c>
      <c r="Q121" t="inlineStr">
        <is>
          <t>－</t>
        </is>
      </c>
      <c r="R121" t="inlineStr">
        <is>
          <t>*</t>
        </is>
      </c>
      <c r="S121" t="inlineStr">
        <is>
          <t>*</t>
        </is>
      </c>
      <c r="T121" t="inlineStr">
        <is>
          <t>*</t>
        </is>
      </c>
      <c r="U121" t="inlineStr">
        <is>
          <t>*</t>
        </is>
      </c>
      <c r="V121" t="inlineStr">
        <is>
          <t>*</t>
        </is>
      </c>
      <c r="W121" t="n">
        <v>7</v>
      </c>
      <c r="X121" t="n">
        <v>1</v>
      </c>
      <c r="Y121" t="n">
        <v>2</v>
      </c>
      <c r="AA121">
        <f>SUM(テーブル13[[#This Row],[Reading正答数（大問1）]:[Reading正答数（大問4）]])</f>
        <v/>
      </c>
      <c r="AB121">
        <f>テーブル13[[#This Row],[リーディング正答数]]/25</f>
        <v/>
      </c>
      <c r="AC121" t="n">
        <v>3</v>
      </c>
      <c r="AD121" t="n">
        <v>3</v>
      </c>
      <c r="AE121" t="n">
        <v>6</v>
      </c>
      <c r="AF121">
        <f>SUM(テーブル13[[#This Row],[Listening正答数（大問1）]:[Listening正答数（大問3）]])</f>
        <v/>
      </c>
      <c r="AG121">
        <f>テーブル13[[#This Row],[Listening正答数]]/25</f>
        <v/>
      </c>
    </row>
    <row r="122">
      <c r="A122" t="n">
        <v>2025</v>
      </c>
      <c r="B122" t="inlineStr">
        <is>
          <t>第3回</t>
        </is>
      </c>
      <c r="C122" t="inlineStr">
        <is>
          <t>2級</t>
        </is>
      </c>
      <c r="D122" t="inlineStr">
        <is>
          <t>小5</t>
        </is>
      </c>
      <c r="E122" t="inlineStr">
        <is>
          <t>阿部 萱</t>
        </is>
      </c>
      <c r="F122" t="inlineStr">
        <is>
          <t>無</t>
        </is>
      </c>
      <c r="G122" t="inlineStr">
        <is>
          <t>不合格</t>
        </is>
      </c>
      <c r="H122" t="inlineStr">
        <is>
          <t>－</t>
        </is>
      </c>
      <c r="J122" t="inlineStr">
        <is>
          <t>G2 -5</t>
        </is>
      </c>
      <c r="K122" t="inlineStr">
        <is>
          <t>－</t>
        </is>
      </c>
      <c r="L122" t="n">
        <v>450</v>
      </c>
      <c r="M122" t="n">
        <v>500</v>
      </c>
      <c r="N122" t="n">
        <v>464</v>
      </c>
      <c r="O122" t="n">
        <v>1414</v>
      </c>
      <c r="P122" t="inlineStr">
        <is>
          <t>－</t>
        </is>
      </c>
      <c r="Q122" t="inlineStr">
        <is>
          <t>－</t>
        </is>
      </c>
      <c r="R122" t="inlineStr">
        <is>
          <t>A2</t>
        </is>
      </c>
      <c r="S122" t="inlineStr">
        <is>
          <t>B1</t>
        </is>
      </c>
      <c r="T122" t="inlineStr">
        <is>
          <t>A2</t>
        </is>
      </c>
      <c r="U122" t="inlineStr">
        <is>
          <t>－</t>
        </is>
      </c>
      <c r="V122" t="inlineStr">
        <is>
          <t>－</t>
        </is>
      </c>
      <c r="W122" t="n">
        <v>5</v>
      </c>
      <c r="X122" t="n">
        <v>1</v>
      </c>
      <c r="Y122" t="n">
        <v>2</v>
      </c>
      <c r="AA122">
        <f>SUM(テーブル13[[#This Row],[Reading正答数（大問1）]:[Reading正答数（大問4）]])</f>
        <v/>
      </c>
      <c r="AB122">
        <f>テーブル13[[#This Row],[リーディング正答数]]/31</f>
        <v/>
      </c>
      <c r="AC122" t="n">
        <v>11</v>
      </c>
      <c r="AD122" t="n">
        <v>11</v>
      </c>
      <c r="AF122">
        <f>SUM(テーブル13[[#This Row],[Listening正答数（大問1）]:[Listening正答数（大問3）]])</f>
        <v/>
      </c>
      <c r="AG122">
        <f>テーブル13[[#This Row],[Listening正答数]]/30</f>
        <v/>
      </c>
      <c r="AH122" t="n">
        <v>2</v>
      </c>
      <c r="AI122" t="n">
        <v>2</v>
      </c>
      <c r="AJ122" t="n">
        <v>2</v>
      </c>
      <c r="AK122" t="n">
        <v>2</v>
      </c>
      <c r="AL122" t="n">
        <v>2</v>
      </c>
      <c r="AM122" t="n">
        <v>3</v>
      </c>
      <c r="AN122" t="n">
        <v>3</v>
      </c>
      <c r="AO122" t="n">
        <v>3</v>
      </c>
      <c r="AP122">
        <f>SUM(テーブル13[[#This Row],[Writing設問1スコア（内容）]:[Writing設問2スコア（文法）]])</f>
        <v/>
      </c>
    </row>
    <row r="123">
      <c r="A123" t="n">
        <v>2025</v>
      </c>
      <c r="B123" t="inlineStr">
        <is>
          <t>第3回</t>
        </is>
      </c>
      <c r="C123" t="inlineStr">
        <is>
          <t>3級</t>
        </is>
      </c>
      <c r="D123" t="inlineStr">
        <is>
          <t>小5</t>
        </is>
      </c>
      <c r="E123" t="inlineStr">
        <is>
          <t>伊澤 咲希</t>
        </is>
      </c>
      <c r="F123" t="inlineStr">
        <is>
          <t>無</t>
        </is>
      </c>
      <c r="G123" t="inlineStr">
        <is>
          <t>合格</t>
        </is>
      </c>
      <c r="J123" t="inlineStr">
        <is>
          <t>G3 +7</t>
        </is>
      </c>
      <c r="K123" t="inlineStr">
        <is>
          <t>－</t>
        </is>
      </c>
      <c r="L123" t="n">
        <v>422</v>
      </c>
      <c r="M123" t="n">
        <v>404</v>
      </c>
      <c r="N123" t="n">
        <v>435</v>
      </c>
      <c r="O123" t="n">
        <v>1261</v>
      </c>
      <c r="P123" t="inlineStr">
        <is>
          <t>－</t>
        </is>
      </c>
      <c r="Q123" t="inlineStr">
        <is>
          <t>－</t>
        </is>
      </c>
      <c r="R123" t="inlineStr">
        <is>
          <t>A1</t>
        </is>
      </c>
      <c r="S123" t="inlineStr">
        <is>
          <t>A1</t>
        </is>
      </c>
      <c r="T123" t="inlineStr">
        <is>
          <t>A1</t>
        </is>
      </c>
      <c r="U123" t="inlineStr">
        <is>
          <t>－</t>
        </is>
      </c>
      <c r="V123" t="inlineStr">
        <is>
          <t>－</t>
        </is>
      </c>
      <c r="W123" t="n">
        <v>12</v>
      </c>
      <c r="X123" t="n">
        <v>2</v>
      </c>
      <c r="Y123" t="n">
        <v>9</v>
      </c>
      <c r="AA123">
        <f>SUM(テーブル13[[#This Row],[Reading正答数（大問1）]:[Reading正答数（大問4）]])</f>
        <v/>
      </c>
      <c r="AB123">
        <f>テーブル13[[#This Row],[リーディング正答数]]/30</f>
        <v/>
      </c>
      <c r="AC123" t="n">
        <v>7</v>
      </c>
      <c r="AD123" t="n">
        <v>9</v>
      </c>
      <c r="AE123" t="n">
        <v>9</v>
      </c>
      <c r="AF123">
        <f>SUM(テーブル13[[#This Row],[Listening正答数（大問1）]:[Listening正答数（大問3）]])</f>
        <v/>
      </c>
      <c r="AG123">
        <f>テーブル13[[#This Row],[Listening正答数]]/30</f>
        <v/>
      </c>
      <c r="AH123" t="n">
        <v>2</v>
      </c>
      <c r="AJ123" t="n">
        <v>3</v>
      </c>
      <c r="AK123" t="n">
        <v>2</v>
      </c>
      <c r="AL123" t="n">
        <v>3</v>
      </c>
      <c r="AM123" t="n">
        <v>4</v>
      </c>
      <c r="AN123" t="n">
        <v>3</v>
      </c>
      <c r="AO123" t="n">
        <v>4</v>
      </c>
      <c r="AP123">
        <f>SUM(テーブル13[[#This Row],[Writing設問1スコア（内容）]:[Writing設問2スコア（文法）]])</f>
        <v/>
      </c>
    </row>
    <row r="124">
      <c r="A124" t="n">
        <v>2025</v>
      </c>
      <c r="B124" t="inlineStr">
        <is>
          <t>第3回</t>
        </is>
      </c>
      <c r="C124" t="inlineStr">
        <is>
          <t>4級</t>
        </is>
      </c>
      <c r="D124" t="inlineStr">
        <is>
          <t>小6</t>
        </is>
      </c>
      <c r="E124" t="inlineStr">
        <is>
          <t>宮本 悠</t>
        </is>
      </c>
      <c r="F124" t="inlineStr">
        <is>
          <t>無</t>
        </is>
      </c>
      <c r="G124" t="inlineStr">
        <is>
          <t>合格</t>
        </is>
      </c>
      <c r="H124" t="inlineStr">
        <is>
          <t>－</t>
        </is>
      </c>
      <c r="J124" t="inlineStr">
        <is>
          <t>G4 +4</t>
        </is>
      </c>
      <c r="K124" t="inlineStr">
        <is>
          <t>－</t>
        </is>
      </c>
      <c r="L124" t="n">
        <v>345</v>
      </c>
      <c r="M124" t="n">
        <v>359</v>
      </c>
      <c r="N124" t="inlineStr">
        <is>
          <t>－</t>
        </is>
      </c>
      <c r="O124" t="n">
        <v>704</v>
      </c>
      <c r="P124" t="inlineStr">
        <is>
          <t>－</t>
        </is>
      </c>
      <c r="Q124" t="inlineStr">
        <is>
          <t>－</t>
        </is>
      </c>
      <c r="R124" t="inlineStr">
        <is>
          <t>*</t>
        </is>
      </c>
      <c r="S124" t="inlineStr">
        <is>
          <t>*</t>
        </is>
      </c>
      <c r="T124" t="inlineStr">
        <is>
          <t>*</t>
        </is>
      </c>
      <c r="U124" t="inlineStr">
        <is>
          <t>*</t>
        </is>
      </c>
      <c r="V124" t="inlineStr">
        <is>
          <t>*</t>
        </is>
      </c>
      <c r="W124" t="n">
        <v>9</v>
      </c>
      <c r="X124" t="n">
        <v>4</v>
      </c>
      <c r="Y124" t="n">
        <v>3</v>
      </c>
      <c r="Z124" t="n">
        <v>8</v>
      </c>
      <c r="AA124">
        <f>SUM(テーブル13[[#This Row],[Reading正答数（大問1）]:[Reading正答数（大問4）]])</f>
        <v/>
      </c>
      <c r="AB124">
        <f>テーブル13[[#This Row],[リーディング正答数]]/35</f>
        <v/>
      </c>
      <c r="AC124" t="n">
        <v>8</v>
      </c>
      <c r="AD124" t="n">
        <v>9</v>
      </c>
      <c r="AE124" t="n">
        <v>8</v>
      </c>
      <c r="AF124">
        <f>SUM(テーブル13[[#This Row],[Listening正答数（大問1）]:[Listening正答数（大問3）]])</f>
        <v/>
      </c>
      <c r="AG124">
        <f>テーブル13[[#This Row],[Listening正答数]]/30</f>
        <v/>
      </c>
    </row>
    <row r="125">
      <c r="A125" t="n">
        <v>2025</v>
      </c>
      <c r="B125" t="inlineStr">
        <is>
          <t>第3回</t>
        </is>
      </c>
      <c r="C125" t="inlineStr">
        <is>
          <t>5級</t>
        </is>
      </c>
      <c r="D125" t="inlineStr">
        <is>
          <t>小6</t>
        </is>
      </c>
      <c r="E125" t="inlineStr">
        <is>
          <t>小川 里依紗</t>
        </is>
      </c>
      <c r="F125" t="inlineStr">
        <is>
          <t>無</t>
        </is>
      </c>
      <c r="G125" t="inlineStr">
        <is>
          <t>合格</t>
        </is>
      </c>
      <c r="H125" t="inlineStr">
        <is>
          <t>－</t>
        </is>
      </c>
      <c r="J125" t="inlineStr">
        <is>
          <t>G5 +9</t>
        </is>
      </c>
      <c r="K125" t="inlineStr">
        <is>
          <t>－</t>
        </is>
      </c>
      <c r="L125" t="n">
        <v>296</v>
      </c>
      <c r="M125" t="n">
        <v>341</v>
      </c>
      <c r="N125" t="inlineStr">
        <is>
          <t>－</t>
        </is>
      </c>
      <c r="O125" t="n">
        <v>637</v>
      </c>
      <c r="P125" t="inlineStr">
        <is>
          <t>－</t>
        </is>
      </c>
      <c r="Q125" t="inlineStr">
        <is>
          <t>－</t>
        </is>
      </c>
      <c r="R125" t="inlineStr">
        <is>
          <t>*</t>
        </is>
      </c>
      <c r="S125" t="inlineStr">
        <is>
          <t>*</t>
        </is>
      </c>
      <c r="T125" t="inlineStr">
        <is>
          <t>*</t>
        </is>
      </c>
      <c r="U125" t="inlineStr">
        <is>
          <t>*</t>
        </is>
      </c>
      <c r="V125" t="inlineStr">
        <is>
          <t>*</t>
        </is>
      </c>
      <c r="W125" t="n">
        <v>11</v>
      </c>
      <c r="X125" t="n">
        <v>4</v>
      </c>
      <c r="Y125" t="n">
        <v>2</v>
      </c>
      <c r="AA125">
        <f>SUM(テーブル13[[#This Row],[Reading正答数（大問1）]:[Reading正答数（大問4）]])</f>
        <v/>
      </c>
      <c r="AB125">
        <f>テーブル13[[#This Row],[リーディング正答数]]/25</f>
        <v/>
      </c>
      <c r="AC125" t="n">
        <v>9</v>
      </c>
      <c r="AD125" t="n">
        <v>5</v>
      </c>
      <c r="AE125" t="n">
        <v>10</v>
      </c>
      <c r="AF125">
        <f>SUM(テーブル13[[#This Row],[Listening正答数（大問1）]:[Listening正答数（大問3）]])</f>
        <v/>
      </c>
      <c r="AG125">
        <f>テーブル13[[#This Row],[Listening正答数]]/25</f>
        <v/>
      </c>
    </row>
    <row r="126">
      <c r="A126" t="n">
        <v>2025</v>
      </c>
      <c r="B126" t="inlineStr">
        <is>
          <t>第3回</t>
        </is>
      </c>
      <c r="C126" t="inlineStr">
        <is>
          <t>5級</t>
        </is>
      </c>
      <c r="D126" t="inlineStr">
        <is>
          <t>小6</t>
        </is>
      </c>
      <c r="E126" t="inlineStr">
        <is>
          <t>丸岡 千夏</t>
        </is>
      </c>
      <c r="F126" t="inlineStr">
        <is>
          <t>無</t>
        </is>
      </c>
      <c r="G126" t="inlineStr">
        <is>
          <t>合格</t>
        </is>
      </c>
      <c r="H126" t="inlineStr">
        <is>
          <t>－</t>
        </is>
      </c>
      <c r="J126" t="inlineStr">
        <is>
          <t>G5 +5</t>
        </is>
      </c>
      <c r="K126" t="inlineStr">
        <is>
          <t>－</t>
        </is>
      </c>
      <c r="L126" t="n">
        <v>288</v>
      </c>
      <c r="M126" t="n">
        <v>252</v>
      </c>
      <c r="N126" t="inlineStr">
        <is>
          <t>－</t>
        </is>
      </c>
      <c r="O126" t="n">
        <v>540</v>
      </c>
      <c r="P126" t="inlineStr">
        <is>
          <t>－</t>
        </is>
      </c>
      <c r="Q126" t="inlineStr">
        <is>
          <t>－</t>
        </is>
      </c>
      <c r="R126" t="inlineStr">
        <is>
          <t>*</t>
        </is>
      </c>
      <c r="S126" t="inlineStr">
        <is>
          <t>*</t>
        </is>
      </c>
      <c r="T126" t="inlineStr">
        <is>
          <t>*</t>
        </is>
      </c>
      <c r="U126" t="inlineStr">
        <is>
          <t>*</t>
        </is>
      </c>
      <c r="V126" t="inlineStr">
        <is>
          <t>*</t>
        </is>
      </c>
      <c r="W126" t="n">
        <v>10</v>
      </c>
      <c r="X126" t="n">
        <v>3</v>
      </c>
      <c r="Y126" t="n">
        <v>3</v>
      </c>
      <c r="AA126">
        <f>SUM(テーブル13[[#This Row],[Reading正答数（大問1）]:[Reading正答数（大問4）]])</f>
        <v/>
      </c>
      <c r="AB126">
        <f>テーブル13[[#This Row],[リーディング正答数]]/25</f>
        <v/>
      </c>
      <c r="AC126" t="n">
        <v>6</v>
      </c>
      <c r="AD126" t="n">
        <v>4</v>
      </c>
      <c r="AE126" t="n">
        <v>10</v>
      </c>
      <c r="AF126">
        <f>SUM(テーブル13[[#This Row],[Listening正答数（大問1）]:[Listening正答数（大問3）]])</f>
        <v/>
      </c>
      <c r="AG126">
        <f>テーブル13[[#This Row],[Listening正答数]]/25</f>
        <v/>
      </c>
    </row>
    <row r="127">
      <c r="A127" t="n">
        <v>2025</v>
      </c>
      <c r="B127" t="inlineStr">
        <is>
          <t>第3回</t>
        </is>
      </c>
      <c r="C127" t="inlineStr">
        <is>
          <t>5級</t>
        </is>
      </c>
      <c r="D127" t="inlineStr">
        <is>
          <t>小6</t>
        </is>
      </c>
      <c r="E127" t="inlineStr">
        <is>
          <t>吉田 知紗音</t>
        </is>
      </c>
      <c r="F127" t="inlineStr">
        <is>
          <t>無</t>
        </is>
      </c>
      <c r="G127" t="inlineStr">
        <is>
          <t>合格</t>
        </is>
      </c>
      <c r="H127" t="inlineStr">
        <is>
          <t>－</t>
        </is>
      </c>
      <c r="J127" t="inlineStr">
        <is>
          <t>G5 +3</t>
        </is>
      </c>
      <c r="K127" t="inlineStr">
        <is>
          <t>－</t>
        </is>
      </c>
      <c r="L127" t="n">
        <v>296</v>
      </c>
      <c r="M127" t="n">
        <v>198</v>
      </c>
      <c r="N127" t="inlineStr">
        <is>
          <t>－</t>
        </is>
      </c>
      <c r="O127" t="n">
        <v>494</v>
      </c>
      <c r="P127" t="inlineStr">
        <is>
          <t>－</t>
        </is>
      </c>
      <c r="Q127" t="inlineStr">
        <is>
          <t>－</t>
        </is>
      </c>
      <c r="R127" t="inlineStr">
        <is>
          <t>*</t>
        </is>
      </c>
      <c r="S127" t="inlineStr">
        <is>
          <t>*</t>
        </is>
      </c>
      <c r="T127" t="inlineStr">
        <is>
          <t>*</t>
        </is>
      </c>
      <c r="U127" t="inlineStr">
        <is>
          <t>*</t>
        </is>
      </c>
      <c r="V127" t="inlineStr">
        <is>
          <t>*</t>
        </is>
      </c>
      <c r="W127" t="n">
        <v>10</v>
      </c>
      <c r="X127" t="n">
        <v>4</v>
      </c>
      <c r="Y127" t="n">
        <v>3</v>
      </c>
      <c r="AA127">
        <f>SUM(テーブル13[[#This Row],[Reading正答数（大問1）]:[Reading正答数（大問4）]])</f>
        <v/>
      </c>
      <c r="AB127">
        <f>テーブル13[[#This Row],[リーディング正答数]]/25</f>
        <v/>
      </c>
      <c r="AC127" t="n">
        <v>7</v>
      </c>
      <c r="AD127" t="n">
        <v>1</v>
      </c>
      <c r="AE127" t="n">
        <v>7</v>
      </c>
      <c r="AF127">
        <f>SUM(テーブル13[[#This Row],[Listening正答数（大問1）]:[Listening正答数（大問3）]])</f>
        <v/>
      </c>
      <c r="AG127">
        <f>テーブル13[[#This Row],[Listening正答数]]/25</f>
        <v/>
      </c>
    </row>
    <row r="128">
      <c r="A128" t="n">
        <v>2025</v>
      </c>
      <c r="B128" t="inlineStr">
        <is>
          <t>第3回</t>
        </is>
      </c>
      <c r="C128" t="inlineStr">
        <is>
          <t>5級</t>
        </is>
      </c>
      <c r="D128" t="inlineStr">
        <is>
          <t>小6</t>
        </is>
      </c>
      <c r="E128" t="inlineStr">
        <is>
          <t>三宅 夏果</t>
        </is>
      </c>
      <c r="F128" t="inlineStr">
        <is>
          <t>無</t>
        </is>
      </c>
      <c r="G128" t="inlineStr">
        <is>
          <t>合格</t>
        </is>
      </c>
      <c r="H128" t="inlineStr">
        <is>
          <t>－</t>
        </is>
      </c>
      <c r="J128" t="inlineStr">
        <is>
          <t>G5 +2</t>
        </is>
      </c>
      <c r="K128" t="inlineStr">
        <is>
          <t>－</t>
        </is>
      </c>
      <c r="L128" t="n">
        <v>264</v>
      </c>
      <c r="M128" t="n">
        <v>188</v>
      </c>
      <c r="N128" t="inlineStr">
        <is>
          <t>－</t>
        </is>
      </c>
      <c r="O128" t="n">
        <v>452</v>
      </c>
      <c r="P128" t="inlineStr">
        <is>
          <t>－</t>
        </is>
      </c>
      <c r="Q128" t="inlineStr">
        <is>
          <t>－</t>
        </is>
      </c>
      <c r="R128" t="inlineStr">
        <is>
          <t>*</t>
        </is>
      </c>
      <c r="S128" t="inlineStr">
        <is>
          <t>*</t>
        </is>
      </c>
      <c r="T128" t="inlineStr">
        <is>
          <t>*</t>
        </is>
      </c>
      <c r="U128" t="inlineStr">
        <is>
          <t>*</t>
        </is>
      </c>
      <c r="V128" t="inlineStr">
        <is>
          <t>*</t>
        </is>
      </c>
      <c r="W128" t="n">
        <v>9</v>
      </c>
      <c r="X128" t="n">
        <v>2</v>
      </c>
      <c r="Y128" t="n">
        <v>2</v>
      </c>
      <c r="AA128">
        <f>SUM(テーブル13[[#This Row],[Reading正答数（大問1）]:[Reading正答数（大問4）]])</f>
        <v/>
      </c>
      <c r="AB128">
        <f>テーブル13[[#This Row],[リーディング正答数]]/25</f>
        <v/>
      </c>
      <c r="AC128" t="n">
        <v>5</v>
      </c>
      <c r="AD128" t="n">
        <v>2</v>
      </c>
      <c r="AE128" t="n">
        <v>7</v>
      </c>
      <c r="AF128">
        <f>SUM(テーブル13[[#This Row],[Listening正答数（大問1）]:[Listening正答数（大問3）]])</f>
        <v/>
      </c>
      <c r="AG128">
        <f>テーブル13[[#This Row],[Listening正答数]]/25</f>
        <v/>
      </c>
    </row>
    <row r="129">
      <c r="A129" t="n">
        <v>2025</v>
      </c>
      <c r="B129" t="inlineStr">
        <is>
          <t>第3回</t>
        </is>
      </c>
      <c r="C129" t="inlineStr">
        <is>
          <t>準2級</t>
        </is>
      </c>
      <c r="D129" t="inlineStr">
        <is>
          <t>小6</t>
        </is>
      </c>
      <c r="E129" t="inlineStr">
        <is>
          <t>佐藤 匠真</t>
        </is>
      </c>
      <c r="F129" t="inlineStr">
        <is>
          <t>無</t>
        </is>
      </c>
      <c r="G129" t="inlineStr">
        <is>
          <t>不合格</t>
        </is>
      </c>
      <c r="H129" t="inlineStr">
        <is>
          <t>－</t>
        </is>
      </c>
      <c r="J129" t="inlineStr">
        <is>
          <t>GP2 -3</t>
        </is>
      </c>
      <c r="K129" t="inlineStr">
        <is>
          <t>－</t>
        </is>
      </c>
      <c r="L129" t="n">
        <v>453</v>
      </c>
      <c r="M129" t="n">
        <v>438</v>
      </c>
      <c r="N129" t="n">
        <v>375</v>
      </c>
      <c r="O129" t="n">
        <v>1266</v>
      </c>
      <c r="P129" t="inlineStr">
        <is>
          <t>－</t>
        </is>
      </c>
      <c r="Q129" t="inlineStr">
        <is>
          <t>－</t>
        </is>
      </c>
      <c r="R129" t="inlineStr">
        <is>
          <t>A2</t>
        </is>
      </c>
      <c r="S129" t="inlineStr">
        <is>
          <t>A1</t>
        </is>
      </c>
      <c r="T129" t="inlineStr">
        <is>
          <t>A1</t>
        </is>
      </c>
      <c r="U129" t="inlineStr">
        <is>
          <t>－</t>
        </is>
      </c>
      <c r="V129" t="inlineStr">
        <is>
          <t>－</t>
        </is>
      </c>
      <c r="W129" t="n">
        <v>10</v>
      </c>
      <c r="X129" t="n">
        <v>4</v>
      </c>
      <c r="Y129" t="n">
        <v>0</v>
      </c>
      <c r="Z129" t="n">
        <v>3</v>
      </c>
      <c r="AA129">
        <f>SUM(テーブル13[[#This Row],[Reading正答数（大問1）]:[Reading正答数（大問4）]])</f>
        <v/>
      </c>
      <c r="AB129">
        <f>テーブル13[[#This Row],[リーディング正答数]]/29</f>
        <v/>
      </c>
      <c r="AC129" t="n">
        <v>8</v>
      </c>
      <c r="AD129" t="n">
        <v>5</v>
      </c>
      <c r="AE129" t="n">
        <v>5</v>
      </c>
      <c r="AF129">
        <f>SUM(テーブル13[[#This Row],[Listening正答数（大問1）]:[Listening正答数（大問3）]])</f>
        <v/>
      </c>
      <c r="AG129">
        <f>テーブル13[[#This Row],[Listening正答数]]/30</f>
        <v/>
      </c>
      <c r="AH129" t="n">
        <v>2</v>
      </c>
      <c r="AJ129" t="n">
        <v>3</v>
      </c>
      <c r="AK129" t="n">
        <v>2</v>
      </c>
      <c r="AL129" t="n">
        <v>2</v>
      </c>
      <c r="AM129" t="n">
        <v>2</v>
      </c>
      <c r="AN129" t="n">
        <v>1</v>
      </c>
      <c r="AO129" t="n">
        <v>1</v>
      </c>
      <c r="AP129">
        <f>SUM(テーブル13[[#This Row],[Writing設問1スコア（内容）]:[Writing設問2スコア（文法）]])</f>
        <v/>
      </c>
    </row>
    <row r="130">
      <c r="A130" t="n">
        <v>2025</v>
      </c>
      <c r="B130" t="inlineStr">
        <is>
          <t>第3回</t>
        </is>
      </c>
      <c r="C130" t="inlineStr">
        <is>
          <t>4級</t>
        </is>
      </c>
      <c r="D130" t="inlineStr">
        <is>
          <t>小6</t>
        </is>
      </c>
      <c r="E130" t="inlineStr">
        <is>
          <t>西村 遙人</t>
        </is>
      </c>
      <c r="F130" t="inlineStr">
        <is>
          <t>無</t>
        </is>
      </c>
      <c r="G130" t="inlineStr">
        <is>
          <t>合格</t>
        </is>
      </c>
      <c r="H130" t="inlineStr">
        <is>
          <t>－</t>
        </is>
      </c>
      <c r="J130" t="inlineStr">
        <is>
          <t>G4 +4</t>
        </is>
      </c>
      <c r="K130" t="inlineStr">
        <is>
          <t>－</t>
        </is>
      </c>
      <c r="L130" t="n">
        <v>358</v>
      </c>
      <c r="M130" t="n">
        <v>347</v>
      </c>
      <c r="N130" t="inlineStr">
        <is>
          <t>－</t>
        </is>
      </c>
      <c r="O130" t="n">
        <v>705</v>
      </c>
      <c r="P130" t="inlineStr">
        <is>
          <t>－</t>
        </is>
      </c>
      <c r="Q130" t="inlineStr">
        <is>
          <t>－</t>
        </is>
      </c>
      <c r="R130" t="inlineStr">
        <is>
          <t>*</t>
        </is>
      </c>
      <c r="S130" t="inlineStr">
        <is>
          <t>*</t>
        </is>
      </c>
      <c r="T130" t="inlineStr">
        <is>
          <t>*</t>
        </is>
      </c>
      <c r="U130" t="inlineStr">
        <is>
          <t>*</t>
        </is>
      </c>
      <c r="V130" t="inlineStr">
        <is>
          <t>*</t>
        </is>
      </c>
      <c r="W130" t="n">
        <v>11</v>
      </c>
      <c r="X130" t="n">
        <v>4</v>
      </c>
      <c r="Y130" t="n">
        <v>1</v>
      </c>
      <c r="Z130" t="n">
        <v>10</v>
      </c>
      <c r="AA130">
        <f>SUM(テーブル13[[#This Row],[Reading正答数（大問1）]:[Reading正答数（大問4）]])</f>
        <v/>
      </c>
      <c r="AB130">
        <f>テーブル13[[#This Row],[リーディング正答数]]/35</f>
        <v/>
      </c>
      <c r="AC130" t="n">
        <v>8</v>
      </c>
      <c r="AD130" t="n">
        <v>9</v>
      </c>
      <c r="AE130" t="n">
        <v>7</v>
      </c>
      <c r="AF130">
        <f>SUM(テーブル13[[#This Row],[Listening正答数（大問1）]:[Listening正答数（大問3）]])</f>
        <v/>
      </c>
      <c r="AG130">
        <f>テーブル13[[#This Row],[Listening正答数]]/30</f>
        <v/>
      </c>
    </row>
    <row r="131">
      <c r="A131" t="n">
        <v>2025</v>
      </c>
      <c r="B131" t="inlineStr">
        <is>
          <t>第3回</t>
        </is>
      </c>
      <c r="C131" t="inlineStr">
        <is>
          <t>4級</t>
        </is>
      </c>
      <c r="D131" t="inlineStr">
        <is>
          <t>小6</t>
        </is>
      </c>
      <c r="E131" t="inlineStr">
        <is>
          <t>?田 浬都來</t>
        </is>
      </c>
      <c r="F131" t="inlineStr">
        <is>
          <t>無</t>
        </is>
      </c>
      <c r="G131" t="inlineStr">
        <is>
          <t>不合格</t>
        </is>
      </c>
      <c r="H131" t="inlineStr">
        <is>
          <t>－</t>
        </is>
      </c>
      <c r="J131" t="inlineStr">
        <is>
          <t>G4 -2</t>
        </is>
      </c>
      <c r="K131" t="inlineStr">
        <is>
          <t>－</t>
        </is>
      </c>
      <c r="L131" t="n">
        <v>313</v>
      </c>
      <c r="M131" t="n">
        <v>270</v>
      </c>
      <c r="N131" t="inlineStr">
        <is>
          <t>－</t>
        </is>
      </c>
      <c r="O131" t="n">
        <v>583</v>
      </c>
      <c r="P131" t="inlineStr">
        <is>
          <t>－</t>
        </is>
      </c>
      <c r="Q131" t="inlineStr">
        <is>
          <t>－</t>
        </is>
      </c>
      <c r="R131" t="inlineStr">
        <is>
          <t>*</t>
        </is>
      </c>
      <c r="S131" t="inlineStr">
        <is>
          <t>*</t>
        </is>
      </c>
      <c r="T131" t="inlineStr">
        <is>
          <t>*</t>
        </is>
      </c>
      <c r="U131" t="inlineStr">
        <is>
          <t>*</t>
        </is>
      </c>
      <c r="V131" t="inlineStr">
        <is>
          <t>*</t>
        </is>
      </c>
      <c r="W131" t="n">
        <v>6</v>
      </c>
      <c r="X131" t="n">
        <v>2</v>
      </c>
      <c r="Y131" t="n">
        <v>3</v>
      </c>
      <c r="Z131" t="n">
        <v>7</v>
      </c>
      <c r="AA131">
        <f>SUM(テーブル13[[#This Row],[Reading正答数（大問1）]:[Reading正答数（大問4）]])</f>
        <v/>
      </c>
      <c r="AB131">
        <f>テーブル13[[#This Row],[リーディング正答数]]/35</f>
        <v/>
      </c>
      <c r="AC131" t="n">
        <v>5</v>
      </c>
      <c r="AD131" t="n">
        <v>8</v>
      </c>
      <c r="AE131" t="n">
        <v>2</v>
      </c>
      <c r="AF131">
        <f>SUM(テーブル13[[#This Row],[Listening正答数（大問1）]:[Listening正答数（大問3）]])</f>
        <v/>
      </c>
      <c r="AG131">
        <f>テーブル13[[#This Row],[Listening正答数]]/30</f>
        <v/>
      </c>
    </row>
    <row r="132">
      <c r="A132" t="n">
        <v>2025</v>
      </c>
      <c r="B132" t="inlineStr">
        <is>
          <t>第3回</t>
        </is>
      </c>
      <c r="C132" t="inlineStr">
        <is>
          <t>4級</t>
        </is>
      </c>
      <c r="D132" t="inlineStr">
        <is>
          <t>小6</t>
        </is>
      </c>
      <c r="E132" t="inlineStr">
        <is>
          <t>柳川 友希</t>
        </is>
      </c>
      <c r="F132" t="inlineStr">
        <is>
          <t>無</t>
        </is>
      </c>
      <c r="G132" t="inlineStr">
        <is>
          <t>不合格</t>
        </is>
      </c>
      <c r="H132" t="inlineStr">
        <is>
          <t>－</t>
        </is>
      </c>
      <c r="J132" t="inlineStr">
        <is>
          <t>G4 -1</t>
        </is>
      </c>
      <c r="K132" t="inlineStr">
        <is>
          <t>－</t>
        </is>
      </c>
      <c r="L132" t="n">
        <v>302</v>
      </c>
      <c r="M132" t="n">
        <v>301</v>
      </c>
      <c r="N132" t="inlineStr">
        <is>
          <t>－</t>
        </is>
      </c>
      <c r="O132" t="n">
        <v>603</v>
      </c>
      <c r="P132" t="inlineStr">
        <is>
          <t>－</t>
        </is>
      </c>
      <c r="Q132" t="inlineStr">
        <is>
          <t>－</t>
        </is>
      </c>
      <c r="R132" t="inlineStr">
        <is>
          <t>*</t>
        </is>
      </c>
      <c r="S132" t="inlineStr">
        <is>
          <t>*</t>
        </is>
      </c>
      <c r="T132" t="inlineStr">
        <is>
          <t>*</t>
        </is>
      </c>
      <c r="U132" t="inlineStr">
        <is>
          <t>*</t>
        </is>
      </c>
      <c r="V132" t="inlineStr">
        <is>
          <t>*</t>
        </is>
      </c>
      <c r="W132" t="n">
        <v>7</v>
      </c>
      <c r="X132" t="n">
        <v>2</v>
      </c>
      <c r="Y132" t="n">
        <v>2</v>
      </c>
      <c r="Z132" t="n">
        <v>5</v>
      </c>
      <c r="AA132">
        <f>SUM(テーブル13[[#This Row],[Reading正答数（大問1）]:[Reading正答数（大問4）]])</f>
        <v/>
      </c>
      <c r="AB132">
        <f>テーブル13[[#This Row],[リーディング正答数]]/35</f>
        <v/>
      </c>
      <c r="AC132" t="n">
        <v>5</v>
      </c>
      <c r="AD132" t="n">
        <v>9</v>
      </c>
      <c r="AE132" t="n">
        <v>5</v>
      </c>
      <c r="AF132">
        <f>SUM(テーブル13[[#This Row],[Listening正答数（大問1）]:[Listening正答数（大問3）]])</f>
        <v/>
      </c>
      <c r="AG132">
        <f>テーブル13[[#This Row],[Listening正答数]]/30</f>
        <v/>
      </c>
    </row>
    <row r="133">
      <c r="A133" t="n">
        <v>2025</v>
      </c>
      <c r="B133" t="inlineStr">
        <is>
          <t>第3回</t>
        </is>
      </c>
      <c r="C133" t="inlineStr">
        <is>
          <t>5級</t>
        </is>
      </c>
      <c r="D133" t="inlineStr">
        <is>
          <t>小6</t>
        </is>
      </c>
      <c r="E133" t="inlineStr">
        <is>
          <t>平野 百香</t>
        </is>
      </c>
      <c r="F133" t="inlineStr">
        <is>
          <t>無</t>
        </is>
      </c>
      <c r="G133" t="inlineStr">
        <is>
          <t>合格</t>
        </is>
      </c>
      <c r="H133" t="inlineStr">
        <is>
          <t>－</t>
        </is>
      </c>
      <c r="J133" t="inlineStr">
        <is>
          <t>G5 +10</t>
        </is>
      </c>
      <c r="K133" t="inlineStr">
        <is>
          <t>－</t>
        </is>
      </c>
      <c r="L133" t="n">
        <v>352</v>
      </c>
      <c r="M133" t="n">
        <v>306</v>
      </c>
      <c r="N133" t="inlineStr">
        <is>
          <t>－</t>
        </is>
      </c>
      <c r="O133" t="n">
        <v>658</v>
      </c>
      <c r="P133" t="inlineStr">
        <is>
          <t>－</t>
        </is>
      </c>
      <c r="Q133" t="inlineStr">
        <is>
          <t>－</t>
        </is>
      </c>
      <c r="R133" t="inlineStr">
        <is>
          <t>*</t>
        </is>
      </c>
      <c r="S133" t="inlineStr">
        <is>
          <t>*</t>
        </is>
      </c>
      <c r="T133" t="inlineStr">
        <is>
          <t>*</t>
        </is>
      </c>
      <c r="U133" t="inlineStr">
        <is>
          <t>*</t>
        </is>
      </c>
      <c r="V133" t="inlineStr">
        <is>
          <t>*</t>
        </is>
      </c>
      <c r="W133" t="n">
        <v>14</v>
      </c>
      <c r="X133" t="n">
        <v>5</v>
      </c>
      <c r="Y133" t="n">
        <v>3</v>
      </c>
      <c r="AA133">
        <f>SUM(テーブル13[[#This Row],[Reading正答数（大問1）]:[Reading正答数（大問4）]])</f>
        <v/>
      </c>
      <c r="AB133">
        <f>テーブル13[[#This Row],[リーディング正答数]]/25</f>
        <v/>
      </c>
      <c r="AC133" t="n">
        <v>8</v>
      </c>
      <c r="AD133" t="n">
        <v>5</v>
      </c>
      <c r="AE133" t="n">
        <v>10</v>
      </c>
      <c r="AF133">
        <f>SUM(テーブル13[[#This Row],[Listening正答数（大問1）]:[Listening正答数（大問3）]])</f>
        <v/>
      </c>
      <c r="AG133">
        <f>テーブル13[[#This Row],[Listening正答数]]/25</f>
        <v/>
      </c>
    </row>
    <row r="134">
      <c r="A134" t="n">
        <v>2025</v>
      </c>
      <c r="B134" t="inlineStr">
        <is>
          <t>第3回</t>
        </is>
      </c>
      <c r="C134" t="inlineStr">
        <is>
          <t>3級</t>
        </is>
      </c>
      <c r="D134" t="inlineStr">
        <is>
          <t>小6</t>
        </is>
      </c>
      <c r="E134" t="inlineStr">
        <is>
          <t>森 勇人</t>
        </is>
      </c>
      <c r="F134" t="inlineStr">
        <is>
          <t>無</t>
        </is>
      </c>
      <c r="G134" t="inlineStr">
        <is>
          <t>合格</t>
        </is>
      </c>
      <c r="J134" t="inlineStr">
        <is>
          <t>G3 +8</t>
        </is>
      </c>
      <c r="K134" t="inlineStr">
        <is>
          <t>－</t>
        </is>
      </c>
      <c r="L134" t="n">
        <v>452</v>
      </c>
      <c r="M134" t="n">
        <v>434</v>
      </c>
      <c r="N134" t="n">
        <v>417</v>
      </c>
      <c r="O134" t="n">
        <v>1303</v>
      </c>
      <c r="P134" t="inlineStr">
        <is>
          <t>－</t>
        </is>
      </c>
      <c r="Q134" t="inlineStr">
        <is>
          <t>－</t>
        </is>
      </c>
      <c r="R134" t="inlineStr">
        <is>
          <t>A1</t>
        </is>
      </c>
      <c r="S134" t="inlineStr">
        <is>
          <t>A1</t>
        </is>
      </c>
      <c r="T134" t="inlineStr">
        <is>
          <t>A1</t>
        </is>
      </c>
      <c r="U134" t="inlineStr">
        <is>
          <t>－</t>
        </is>
      </c>
      <c r="V134" t="inlineStr">
        <is>
          <t>－</t>
        </is>
      </c>
      <c r="W134" t="n">
        <v>14</v>
      </c>
      <c r="X134" t="n">
        <v>3</v>
      </c>
      <c r="Y134" t="n">
        <v>9</v>
      </c>
      <c r="AA134">
        <f>SUM(テーブル13[[#This Row],[Reading正答数（大問1）]:[Reading正答数（大問4）]])</f>
        <v/>
      </c>
      <c r="AB134">
        <f>テーブル13[[#This Row],[リーディング正答数]]/30</f>
        <v/>
      </c>
      <c r="AC134" t="n">
        <v>9</v>
      </c>
      <c r="AD134" t="n">
        <v>9</v>
      </c>
      <c r="AE134" t="n">
        <v>9</v>
      </c>
      <c r="AF134">
        <f>SUM(テーブル13[[#This Row],[Listening正答数（大問1）]:[Listening正答数（大問3）]])</f>
        <v/>
      </c>
      <c r="AG134">
        <f>テーブル13[[#This Row],[Listening正答数]]/30</f>
        <v/>
      </c>
      <c r="AH134" t="n">
        <v>3</v>
      </c>
      <c r="AJ134" t="n">
        <v>3</v>
      </c>
      <c r="AK134" t="n">
        <v>2</v>
      </c>
      <c r="AL134" t="n">
        <v>4</v>
      </c>
      <c r="AM134" t="n">
        <v>3</v>
      </c>
      <c r="AN134" t="n">
        <v>3</v>
      </c>
      <c r="AO134" t="n">
        <v>2</v>
      </c>
      <c r="AP134">
        <f>SUM(テーブル13[[#This Row],[Writing設問1スコア（内容）]:[Writing設問2スコア（文法）]])</f>
        <v/>
      </c>
    </row>
  </sheetData>
  <pageMargins left="0.8267716535433072" right="0.2362204724409449" top="0.7480314960629921" bottom="0.7480314960629921" header="0.3149606299212598" footer="0.3149606299212598"/>
  <pageSetup orientation="landscape" paperSize="12" scale="36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makoto</dc:creator>
  <dcterms:created xsi:type="dcterms:W3CDTF">2025-11-27T06:24:43Z</dcterms:created>
  <dcterms:modified xsi:type="dcterms:W3CDTF">2026-03-13T07:51:53Z</dcterms:modified>
  <cp:lastModifiedBy>bestone aizumi</cp:lastModifiedBy>
</cp:coreProperties>
</file>